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3d27c10fd000ba/YIHSHUO/GIT/Yihshuo_Script/DinhKy/KeToan/"/>
    </mc:Choice>
  </mc:AlternateContent>
  <xr:revisionPtr revIDLastSave="64" documentId="14_{6B9E25AF-D12E-4468-A873-66AC5B6F96AA}" xr6:coauthVersionLast="47" xr6:coauthVersionMax="47" xr10:uidLastSave="{7AABC6CC-8198-4DFB-9FAE-298C9B7CC73B}"/>
  <bookViews>
    <workbookView xWindow="-120" yWindow="-120" windowWidth="29040" windowHeight="15720" activeTab="3" xr2:uid="{00000000-000D-0000-FFFF-FFFF00000000}"/>
  </bookViews>
  <sheets>
    <sheet name="ANDREW_2024" sheetId="1" r:id="rId1"/>
    <sheet name="ANDREW_2025" sheetId="4" r:id="rId2"/>
    <sheet name="Others" sheetId="2" r:id="rId3"/>
    <sheet name="DieuChinhPhuLuc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9" i="3" l="1"/>
  <c r="Q25" i="3"/>
  <c r="T34" i="3"/>
  <c r="S48" i="3"/>
  <c r="O29" i="3"/>
  <c r="T29" i="3"/>
  <c r="O30" i="3"/>
  <c r="T30" i="3"/>
  <c r="O31" i="3"/>
  <c r="T31" i="3" s="1"/>
  <c r="T37" i="3"/>
  <c r="T41" i="3"/>
  <c r="T42" i="3"/>
  <c r="T43" i="3"/>
  <c r="T44" i="3"/>
  <c r="T45" i="3"/>
  <c r="T46" i="3"/>
  <c r="T47" i="3"/>
  <c r="Q27" i="3"/>
  <c r="Q26" i="3"/>
  <c r="F25" i="4"/>
  <c r="L5" i="4"/>
  <c r="K5" i="4"/>
  <c r="M5" i="4"/>
  <c r="L4" i="4"/>
  <c r="K4" i="4"/>
  <c r="J26" i="3"/>
  <c r="O26" i="3" s="1"/>
  <c r="T26" i="3" s="1"/>
  <c r="J27" i="3"/>
  <c r="N27" i="3" s="1"/>
  <c r="S27" i="3" s="1"/>
  <c r="O43" i="3"/>
  <c r="J33" i="3"/>
  <c r="O33" i="3"/>
  <c r="T33" i="3" s="1"/>
  <c r="Q38" i="3"/>
  <c r="Q39" i="3"/>
  <c r="Q40" i="3"/>
  <c r="Q41" i="3"/>
  <c r="Q42" i="3"/>
  <c r="Q43" i="3"/>
  <c r="J38" i="3"/>
  <c r="O38" i="3" s="1"/>
  <c r="T38" i="3" s="1"/>
  <c r="J39" i="3"/>
  <c r="O39" i="3" s="1"/>
  <c r="T39" i="3" s="1"/>
  <c r="N39" i="3"/>
  <c r="S39" i="3" s="1"/>
  <c r="J40" i="3"/>
  <c r="O40" i="3" s="1"/>
  <c r="T40" i="3" s="1"/>
  <c r="N40" i="3"/>
  <c r="S40" i="3"/>
  <c r="J41" i="3"/>
  <c r="N41" i="3"/>
  <c r="S41" i="3"/>
  <c r="J42" i="3"/>
  <c r="N42" i="3" s="1"/>
  <c r="S42" i="3" s="1"/>
  <c r="J43" i="3"/>
  <c r="N43" i="3"/>
  <c r="J29" i="3"/>
  <c r="N29" i="3"/>
  <c r="J30" i="3"/>
  <c r="N30" i="3"/>
  <c r="J31" i="3"/>
  <c r="N31" i="3" s="1"/>
  <c r="S31" i="3" s="1"/>
  <c r="Q37" i="3"/>
  <c r="J37" i="3"/>
  <c r="N37" i="3" s="1"/>
  <c r="S37" i="3" s="1"/>
  <c r="Q30" i="3"/>
  <c r="Q31" i="3"/>
  <c r="Q36" i="3"/>
  <c r="J36" i="3"/>
  <c r="O36" i="3" s="1"/>
  <c r="T36" i="3" s="1"/>
  <c r="N36" i="3"/>
  <c r="Q35" i="3"/>
  <c r="J35" i="3"/>
  <c r="O35" i="3" s="1"/>
  <c r="T35" i="3" s="1"/>
  <c r="N35" i="3"/>
  <c r="S34" i="3"/>
  <c r="Q33" i="3"/>
  <c r="Q29" i="3"/>
  <c r="J25" i="3"/>
  <c r="O25" i="3" s="1"/>
  <c r="T25" i="3" s="1"/>
  <c r="N25" i="3"/>
  <c r="S25" i="3" s="1"/>
  <c r="K23" i="3"/>
  <c r="L15" i="3"/>
  <c r="K15" i="3"/>
  <c r="L8" i="3"/>
  <c r="K8" i="3"/>
  <c r="L7" i="3"/>
  <c r="K7" i="3"/>
  <c r="L6" i="3"/>
  <c r="K6" i="3"/>
  <c r="L5" i="3"/>
  <c r="K5" i="3"/>
  <c r="L4" i="3"/>
  <c r="K4" i="3"/>
  <c r="S43" i="3"/>
  <c r="M4" i="4"/>
  <c r="O37" i="3"/>
  <c r="O42" i="3"/>
  <c r="O41" i="3"/>
  <c r="N33" i="3"/>
  <c r="S33" i="3"/>
  <c r="S29" i="3"/>
  <c r="S35" i="3"/>
  <c r="S36" i="3"/>
  <c r="S30" i="3"/>
  <c r="M5" i="3"/>
  <c r="M15" i="3"/>
  <c r="M4" i="3"/>
  <c r="M8" i="3"/>
  <c r="M6" i="3"/>
  <c r="M7" i="3"/>
  <c r="M20" i="3"/>
  <c r="J27" i="2"/>
  <c r="G27" i="2"/>
  <c r="L15" i="2"/>
  <c r="K15" i="2"/>
  <c r="M15" i="2"/>
  <c r="M20" i="2"/>
  <c r="L6" i="2"/>
  <c r="M6" i="2"/>
  <c r="L7" i="2"/>
  <c r="M7" i="2"/>
  <c r="L8" i="2"/>
  <c r="M8" i="2"/>
  <c r="K6" i="2"/>
  <c r="K7" i="2"/>
  <c r="K8" i="2"/>
  <c r="L5" i="2"/>
  <c r="K5" i="2"/>
  <c r="M4" i="2"/>
  <c r="L4" i="2"/>
  <c r="K4" i="2"/>
  <c r="L5" i="1"/>
  <c r="K5" i="1"/>
  <c r="M5" i="1"/>
  <c r="K4" i="1"/>
  <c r="M5" i="2"/>
  <c r="L4" i="1"/>
  <c r="M4" i="1"/>
  <c r="O27" i="3" l="1"/>
  <c r="T27" i="3" s="1"/>
  <c r="N38" i="3"/>
  <c r="S38" i="3" s="1"/>
  <c r="N26" i="3"/>
  <c r="S26" i="3" s="1"/>
</calcChain>
</file>

<file path=xl/sharedStrings.xml><?xml version="1.0" encoding="utf-8"?>
<sst xmlns="http://schemas.openxmlformats.org/spreadsheetml/2006/main" count="167" uniqueCount="80">
  <si>
    <t>A</t>
    <phoneticPr fontId="1" type="noConversion"/>
  </si>
  <si>
    <t>B</t>
    <phoneticPr fontId="1" type="noConversion"/>
  </si>
  <si>
    <t>HS1</t>
    <phoneticPr fontId="1" type="noConversion"/>
  </si>
  <si>
    <t>HS2</t>
    <phoneticPr fontId="1" type="noConversion"/>
  </si>
  <si>
    <t>T</t>
    <phoneticPr fontId="1" type="noConversion"/>
  </si>
  <si>
    <t>STT</t>
    <phoneticPr fontId="1" type="noConversion"/>
  </si>
  <si>
    <t>Andrew</t>
    <phoneticPr fontId="1" type="noConversion"/>
  </si>
  <si>
    <t>ZK</t>
    <phoneticPr fontId="1" type="noConversion"/>
  </si>
  <si>
    <t>MA_NV</t>
    <phoneticPr fontId="1" type="noConversion"/>
  </si>
  <si>
    <t>TÍNH THƯỞNG LƯƠNG THÁNG 13 Và BÌNH BẦU CUỐI NĂM</t>
    <phoneticPr fontId="1" type="noConversion"/>
  </si>
  <si>
    <t>Họ Tên</t>
    <phoneticPr fontId="1" type="noConversion"/>
  </si>
  <si>
    <t>Lương chính</t>
    <phoneticPr fontId="1" type="noConversion"/>
  </si>
  <si>
    <t>Phụ Cấp</t>
    <phoneticPr fontId="1" type="noConversion"/>
  </si>
  <si>
    <t>Hệ Số T13</t>
    <phoneticPr fontId="1" type="noConversion"/>
  </si>
  <si>
    <t>Hệ Số Bình Bầu</t>
    <phoneticPr fontId="1" type="noConversion"/>
  </si>
  <si>
    <t>Tháng Xét Thưởng</t>
    <phoneticPr fontId="1" type="noConversion"/>
  </si>
  <si>
    <t>Tiền Thưởng</t>
    <phoneticPr fontId="1" type="noConversion"/>
  </si>
  <si>
    <t>Lương CB</t>
    <phoneticPr fontId="1" type="noConversion"/>
  </si>
  <si>
    <t>Trợ Cấp CNNV</t>
    <phoneticPr fontId="1" type="noConversion"/>
  </si>
  <si>
    <t>Trợ Cấp NN</t>
    <phoneticPr fontId="1" type="noConversion"/>
  </si>
  <si>
    <t>Trợ Cấp CBVP</t>
    <phoneticPr fontId="1" type="noConversion"/>
  </si>
  <si>
    <t>Thưởng T13</t>
    <phoneticPr fontId="1" type="noConversion"/>
  </si>
  <si>
    <t>Thưởng BB</t>
    <phoneticPr fontId="1" type="noConversion"/>
  </si>
  <si>
    <t>Tổng Thưởng</t>
    <phoneticPr fontId="1" type="noConversion"/>
  </si>
  <si>
    <t>Công Thức Thưởng Tháng 13 =</t>
    <phoneticPr fontId="1" type="noConversion"/>
  </si>
  <si>
    <t>(Lương+Trợ Cấp)*HS1 *(T/12)</t>
    <phoneticPr fontId="1" type="noConversion"/>
  </si>
  <si>
    <t>Công Thức Thưởng BB =</t>
    <phoneticPr fontId="1" type="noConversion"/>
  </si>
  <si>
    <t xml:space="preserve">Tổng Thưởng Cả Năm= </t>
    <phoneticPr fontId="1" type="noConversion"/>
  </si>
  <si>
    <t>Thưởng 13 + Thưởng BB + Ngày Công Cao</t>
    <phoneticPr fontId="1" type="noConversion"/>
  </si>
  <si>
    <t>Lưu Ý</t>
    <phoneticPr fontId="1" type="noConversion"/>
  </si>
  <si>
    <t>-Lương chính và phụ cấp thì căng cứ vào tổng các mục trong hợp đồng</t>
    <phoneticPr fontId="1" type="noConversion"/>
  </si>
  <si>
    <t>Công</t>
    <phoneticPr fontId="1" type="noConversion"/>
  </si>
  <si>
    <t>Xuân</t>
    <phoneticPr fontId="1" type="noConversion"/>
  </si>
  <si>
    <t>Hiếu</t>
    <phoneticPr fontId="1" type="noConversion"/>
  </si>
  <si>
    <t>Tuân</t>
    <phoneticPr fontId="1" type="noConversion"/>
  </si>
  <si>
    <t>Ngày Công Cao=</t>
    <phoneticPr fontId="1" type="noConversion"/>
  </si>
  <si>
    <t>Hệ số bình bầu</t>
    <phoneticPr fontId="1" type="noConversion"/>
  </si>
  <si>
    <t>Chức Danh</t>
    <phoneticPr fontId="1" type="noConversion"/>
  </si>
  <si>
    <t>Công Nhân</t>
    <phoneticPr fontId="1" type="noConversion"/>
  </si>
  <si>
    <t>Nhân viên</t>
    <phoneticPr fontId="1" type="noConversion"/>
  </si>
  <si>
    <t>Cán Bộ</t>
    <phoneticPr fontId="1" type="noConversion"/>
  </si>
  <si>
    <t>(Lương+Trợ Cấp)*HS2 *(T/12)</t>
    <phoneticPr fontId="1" type="noConversion"/>
  </si>
  <si>
    <t>BB</t>
    <phoneticPr fontId="1" type="noConversion"/>
  </si>
  <si>
    <t>PC Ngoài</t>
    <phoneticPr fontId="1" type="noConversion"/>
  </si>
  <si>
    <t>Trọ</t>
    <phoneticPr fontId="1" type="noConversion"/>
  </si>
  <si>
    <t>Cơm</t>
    <phoneticPr fontId="1" type="noConversion"/>
  </si>
  <si>
    <t>Lương TT</t>
    <phoneticPr fontId="1" type="noConversion"/>
  </si>
  <si>
    <t>Lương CBMax</t>
    <phoneticPr fontId="1" type="noConversion"/>
  </si>
  <si>
    <t>Hệ Số</t>
    <phoneticPr fontId="1" type="noConversion"/>
  </si>
  <si>
    <t>Tổng</t>
    <phoneticPr fontId="1" type="noConversion"/>
  </si>
  <si>
    <t>Hiện Tại B6</t>
    <phoneticPr fontId="1" type="noConversion"/>
  </si>
  <si>
    <t>Lộ trình Bthường</t>
    <phoneticPr fontId="1" type="noConversion"/>
  </si>
  <si>
    <t>Phó CN bậc 2</t>
    <phoneticPr fontId="1" type="noConversion"/>
  </si>
  <si>
    <t>Max B11(có PC)</t>
    <phoneticPr fontId="1" type="noConversion"/>
  </si>
  <si>
    <t>Phó CN bậc 5</t>
  </si>
  <si>
    <t>Phó CN bậc 6</t>
  </si>
  <si>
    <t>Phó CN bậc 7</t>
  </si>
  <si>
    <t>Phó CN bậc 8</t>
  </si>
  <si>
    <t>Phó CN bậc 9</t>
  </si>
  <si>
    <t>Phó CN bậc 10</t>
  </si>
  <si>
    <t>B7</t>
    <phoneticPr fontId="1" type="noConversion"/>
  </si>
  <si>
    <t>B8</t>
  </si>
  <si>
    <t>B9</t>
    <phoneticPr fontId="1" type="noConversion"/>
  </si>
  <si>
    <t>B10</t>
  </si>
  <si>
    <t>B11</t>
  </si>
  <si>
    <t>Hiện tại</t>
    <phoneticPr fontId="1" type="noConversion"/>
  </si>
  <si>
    <t>Tổng lương
(Có PC NN)</t>
    <phoneticPr fontId="1" type="noConversion"/>
  </si>
  <si>
    <t>Tổng lương
(Không PCNN)</t>
    <phoneticPr fontId="1" type="noConversion"/>
  </si>
  <si>
    <t xml:space="preserve">Phó CN bậc 3 </t>
    <phoneticPr fontId="1" type="noConversion"/>
  </si>
  <si>
    <t>Phó CN bậc 4 (yêu cầu phương án 1)</t>
    <phoneticPr fontId="1" type="noConversion"/>
  </si>
  <si>
    <t xml:space="preserve"> </t>
  </si>
  <si>
    <t>PHÓ CHỦ NHIỆM</t>
    <phoneticPr fontId="1" type="noConversion"/>
  </si>
  <si>
    <t>Lương Chính</t>
    <phoneticPr fontId="1" type="noConversion"/>
  </si>
  <si>
    <t>Phụ Cấp Chức Vụ Quản Lý</t>
    <phoneticPr fontId="1" type="noConversion"/>
  </si>
  <si>
    <t>Phúc Lợi</t>
    <phoneticPr fontId="1" type="noConversion"/>
  </si>
  <si>
    <t>Đóng Bảo Hiểm</t>
    <phoneticPr fontId="1" type="noConversion"/>
  </si>
  <si>
    <t>Không BH</t>
    <phoneticPr fontId="1" type="noConversion"/>
  </si>
  <si>
    <t>Tổng Không PCNN</t>
    <phoneticPr fontId="1" type="noConversion"/>
  </si>
  <si>
    <t>Tổng Có PCNN</t>
    <phoneticPr fontId="1" type="noConversion"/>
  </si>
  <si>
    <t>Thực Tế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</si>
</sst>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4"/>
      <color rgb="FF00B0F0"/>
      <name val="Times New Roman"/>
      <family val="1"/>
    </font>
    <font>
      <sz val="11"/>
      <color theme="1"/>
      <name val="Times New Roman"/>
      <family val="1"/>
    </font>
    <font>
      <b/>
      <sz val="12"/>
      <color rgb="FFC00000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0070C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>
      <alignment vertical="center"/>
    </xf>
    <xf numFmtId="0" fontId="7" fillId="0" borderId="0" xfId="0" applyFont="1" applyAlignment="1">
      <alignment horizontal="right" vertical="center" indent="1"/>
    </xf>
    <xf numFmtId="0" fontId="3" fillId="0" borderId="0" xfId="0" quotePrefix="1" applyFo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176" fontId="10" fillId="2" borderId="1" xfId="0" applyNumberFormat="1" applyFont="1" applyFill="1" applyBorder="1">
      <alignment vertic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176" fontId="7" fillId="0" borderId="0" xfId="0" applyNumberFormat="1" applyFont="1">
      <alignment vertical="center"/>
    </xf>
    <xf numFmtId="176" fontId="3" fillId="0" borderId="1" xfId="0" applyNumberFormat="1" applyFont="1" applyBorder="1">
      <alignment vertical="center"/>
    </xf>
    <xf numFmtId="0" fontId="7" fillId="3" borderId="1" xfId="0" applyFont="1" applyFill="1" applyBorder="1">
      <alignment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>
      <alignment vertical="center"/>
    </xf>
    <xf numFmtId="176" fontId="7" fillId="3" borderId="0" xfId="0" applyNumberFormat="1" applyFont="1" applyFill="1">
      <alignment vertical="center"/>
    </xf>
    <xf numFmtId="176" fontId="3" fillId="3" borderId="0" xfId="0" applyNumberFormat="1" applyFont="1" applyFill="1" applyAlignment="1">
      <alignment horizontal="center" vertical="center"/>
    </xf>
    <xf numFmtId="0" fontId="3" fillId="3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3" borderId="1" xfId="0" applyFont="1" applyFill="1" applyBorder="1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>
      <alignment vertical="center"/>
    </xf>
    <xf numFmtId="0" fontId="3" fillId="0" borderId="4" xfId="0" applyFont="1" applyBorder="1">
      <alignment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4" xfId="0" applyNumberFormat="1" applyFont="1" applyBorder="1">
      <alignment vertical="center"/>
    </xf>
    <xf numFmtId="0" fontId="3" fillId="4" borderId="5" xfId="0" applyFont="1" applyFill="1" applyBorder="1">
      <alignment vertical="center"/>
    </xf>
    <xf numFmtId="0" fontId="3" fillId="4" borderId="6" xfId="0" applyFont="1" applyFill="1" applyBorder="1">
      <alignment vertical="center"/>
    </xf>
    <xf numFmtId="176" fontId="3" fillId="4" borderId="6" xfId="0" applyNumberFormat="1" applyFont="1" applyFill="1" applyBorder="1" applyAlignment="1">
      <alignment horizontal="center" vertical="center"/>
    </xf>
    <xf numFmtId="176" fontId="3" fillId="4" borderId="6" xfId="0" applyNumberFormat="1" applyFont="1" applyFill="1" applyBorder="1">
      <alignment vertical="center"/>
    </xf>
    <xf numFmtId="176" fontId="3" fillId="4" borderId="7" xfId="0" applyNumberFormat="1" applyFont="1" applyFill="1" applyBorder="1">
      <alignment vertical="center"/>
    </xf>
    <xf numFmtId="0" fontId="3" fillId="4" borderId="0" xfId="0" applyFont="1" applyFill="1">
      <alignment vertical="center"/>
    </xf>
    <xf numFmtId="176" fontId="3" fillId="4" borderId="0" xfId="0" applyNumberFormat="1" applyFont="1" applyFill="1" applyAlignment="1">
      <alignment horizontal="center" vertical="center"/>
    </xf>
    <xf numFmtId="176" fontId="3" fillId="4" borderId="0" xfId="0" applyNumberFormat="1" applyFont="1" applyFill="1">
      <alignment vertical="center"/>
    </xf>
    <xf numFmtId="0" fontId="3" fillId="0" borderId="3" xfId="0" applyFont="1" applyBorder="1">
      <alignment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3" xfId="0" applyNumberFormat="1" applyFont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selection activeCell="E16" sqref="E16"/>
    </sheetView>
  </sheetViews>
  <sheetFormatPr defaultColWidth="9" defaultRowHeight="15"/>
  <cols>
    <col min="1" max="1" width="5.125" style="2" bestFit="1" customWidth="1"/>
    <col min="2" max="2" width="8.625" style="2" bestFit="1" customWidth="1"/>
    <col min="3" max="3" width="9" style="2"/>
    <col min="4" max="4" width="36.75" style="2" bestFit="1" customWidth="1"/>
    <col min="5" max="7" width="27.625" style="2" customWidth="1"/>
    <col min="8" max="8" width="9.625" style="2" bestFit="1" customWidth="1"/>
    <col min="9" max="9" width="13.875" style="2" bestFit="1" customWidth="1"/>
    <col min="10" max="10" width="17.375" style="2" bestFit="1" customWidth="1"/>
    <col min="11" max="11" width="13.125" style="2" customWidth="1"/>
    <col min="12" max="12" width="10.625" style="2" bestFit="1" customWidth="1"/>
    <col min="13" max="13" width="12.75" style="2" bestFit="1" customWidth="1"/>
    <col min="14" max="16384" width="9" style="2"/>
  </cols>
  <sheetData>
    <row r="1" spans="1:13" ht="60" customHeight="1">
      <c r="A1" s="62" t="s">
        <v>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15.75">
      <c r="A2" s="3" t="s">
        <v>5</v>
      </c>
      <c r="B2" s="3" t="s">
        <v>8</v>
      </c>
      <c r="C2" s="3" t="s">
        <v>10</v>
      </c>
      <c r="D2" s="4" t="s">
        <v>11</v>
      </c>
      <c r="E2" s="61" t="s">
        <v>12</v>
      </c>
      <c r="F2" s="61"/>
      <c r="G2" s="61"/>
      <c r="H2" s="4" t="s">
        <v>13</v>
      </c>
      <c r="I2" s="4" t="s">
        <v>14</v>
      </c>
      <c r="J2" s="4" t="s">
        <v>15</v>
      </c>
      <c r="K2" s="61" t="s">
        <v>16</v>
      </c>
      <c r="L2" s="61"/>
      <c r="M2" s="61"/>
    </row>
    <row r="3" spans="1:13">
      <c r="A3" s="5"/>
      <c r="B3" s="5"/>
      <c r="C3" s="5"/>
      <c r="D3" s="6" t="s">
        <v>17</v>
      </c>
      <c r="E3" s="6" t="s">
        <v>18</v>
      </c>
      <c r="F3" s="6" t="s">
        <v>19</v>
      </c>
      <c r="G3" s="6" t="s">
        <v>20</v>
      </c>
      <c r="H3" s="6" t="s">
        <v>2</v>
      </c>
      <c r="I3" s="6" t="s">
        <v>3</v>
      </c>
      <c r="J3" s="6" t="s">
        <v>4</v>
      </c>
      <c r="K3" s="6" t="s">
        <v>21</v>
      </c>
      <c r="L3" s="6" t="s">
        <v>22</v>
      </c>
      <c r="M3" s="6" t="s">
        <v>23</v>
      </c>
    </row>
    <row r="4" spans="1:13">
      <c r="A4" s="7">
        <v>1</v>
      </c>
      <c r="B4" s="7">
        <v>314844</v>
      </c>
      <c r="C4" s="7" t="s">
        <v>6</v>
      </c>
      <c r="D4" s="8">
        <v>5362500</v>
      </c>
      <c r="E4" s="8">
        <v>1793000</v>
      </c>
      <c r="F4" s="8">
        <v>1400000</v>
      </c>
      <c r="G4" s="8">
        <v>1100000</v>
      </c>
      <c r="H4" s="9">
        <v>1</v>
      </c>
      <c r="I4" s="9">
        <v>1.3</v>
      </c>
      <c r="J4" s="9">
        <v>11.8</v>
      </c>
      <c r="K4" s="8">
        <f>SUM(D4:G4)*H4*(J4/12)</f>
        <v>9494575</v>
      </c>
      <c r="L4" s="8">
        <f>SUM(D4:G4)*I4*(J4/12)</f>
        <v>12342947.5</v>
      </c>
      <c r="M4" s="10">
        <f>SUM(K4:L4)</f>
        <v>21837522.5</v>
      </c>
    </row>
    <row r="5" spans="1:13">
      <c r="A5" s="7">
        <v>2</v>
      </c>
      <c r="B5" s="7">
        <v>313582</v>
      </c>
      <c r="C5" s="7" t="s">
        <v>7</v>
      </c>
      <c r="D5" s="8">
        <v>6522750</v>
      </c>
      <c r="E5" s="8">
        <v>981000</v>
      </c>
      <c r="F5" s="8">
        <v>0</v>
      </c>
      <c r="G5" s="8">
        <v>900000</v>
      </c>
      <c r="H5" s="9">
        <v>1</v>
      </c>
      <c r="I5" s="9">
        <v>1.3</v>
      </c>
      <c r="J5" s="9">
        <v>11.8</v>
      </c>
      <c r="K5" s="8">
        <f>SUM(D5:G5)*H5*(J5/12)</f>
        <v>8263687.5000000009</v>
      </c>
      <c r="L5" s="8">
        <f>SUM(D5:G5)*I5*(J5/12)</f>
        <v>10742793.75</v>
      </c>
      <c r="M5" s="10">
        <f>SUM(K5:L5)</f>
        <v>19006481.25</v>
      </c>
    </row>
    <row r="6" spans="1:13">
      <c r="A6" s="7"/>
      <c r="B6" s="7"/>
      <c r="C6" s="7"/>
      <c r="D6" s="8"/>
      <c r="E6" s="8"/>
      <c r="F6" s="8"/>
      <c r="G6" s="8"/>
      <c r="H6" s="9"/>
      <c r="I6" s="9"/>
      <c r="J6" s="9"/>
      <c r="K6" s="8"/>
      <c r="L6" s="8"/>
      <c r="M6" s="10"/>
    </row>
    <row r="7" spans="1:13">
      <c r="A7" s="7"/>
      <c r="B7" s="7"/>
      <c r="C7" s="7"/>
      <c r="D7" s="8"/>
      <c r="E7" s="8"/>
      <c r="F7" s="8"/>
      <c r="G7" s="8"/>
      <c r="H7" s="9"/>
      <c r="I7" s="9"/>
      <c r="J7" s="9"/>
      <c r="K7" s="8"/>
      <c r="L7" s="8"/>
      <c r="M7" s="10"/>
    </row>
    <row r="8" spans="1:13">
      <c r="A8" s="7"/>
      <c r="B8" s="7"/>
      <c r="C8" s="7"/>
      <c r="D8" s="8"/>
      <c r="E8" s="8"/>
      <c r="F8" s="8"/>
      <c r="G8" s="8"/>
      <c r="H8" s="9"/>
      <c r="I8" s="9"/>
      <c r="J8" s="9"/>
      <c r="K8" s="8"/>
      <c r="L8" s="8"/>
      <c r="M8" s="10"/>
    </row>
    <row r="9" spans="1:13">
      <c r="A9" s="7"/>
      <c r="B9" s="7"/>
      <c r="C9" s="7"/>
      <c r="D9" s="8"/>
      <c r="E9" s="8"/>
      <c r="F9" s="8"/>
      <c r="G9" s="8"/>
      <c r="H9" s="9"/>
      <c r="I9" s="9"/>
      <c r="J9" s="9"/>
      <c r="K9" s="8"/>
      <c r="L9" s="8"/>
      <c r="M9" s="10"/>
    </row>
    <row r="10" spans="1:13">
      <c r="A10" s="7"/>
      <c r="B10" s="7"/>
      <c r="C10" s="7"/>
      <c r="D10" s="8"/>
      <c r="E10" s="8"/>
      <c r="F10" s="8"/>
      <c r="G10" s="8"/>
      <c r="H10" s="9"/>
      <c r="I10" s="9"/>
      <c r="J10" s="9"/>
      <c r="K10" s="8"/>
      <c r="L10" s="8"/>
      <c r="M10" s="10"/>
    </row>
    <row r="12" spans="1:13">
      <c r="A12" s="59" t="s">
        <v>24</v>
      </c>
      <c r="B12" s="59"/>
      <c r="C12" s="59"/>
      <c r="D12" s="15" t="s">
        <v>25</v>
      </c>
    </row>
    <row r="13" spans="1:13">
      <c r="A13" s="59" t="s">
        <v>26</v>
      </c>
      <c r="B13" s="59"/>
      <c r="C13" s="59"/>
      <c r="D13" s="15" t="s">
        <v>41</v>
      </c>
    </row>
    <row r="14" spans="1:13">
      <c r="A14" s="59" t="s">
        <v>35</v>
      </c>
      <c r="B14" s="59"/>
      <c r="C14" s="59"/>
      <c r="D14" s="15">
        <v>400000</v>
      </c>
    </row>
    <row r="15" spans="1:13">
      <c r="A15" s="59" t="s">
        <v>27</v>
      </c>
      <c r="B15" s="59"/>
      <c r="C15" s="59"/>
      <c r="D15" s="15" t="s">
        <v>28</v>
      </c>
    </row>
    <row r="16" spans="1:13">
      <c r="A16" s="14"/>
      <c r="B16" s="14"/>
      <c r="C16" s="14"/>
    </row>
    <row r="18" spans="1:5">
      <c r="A18" s="60" t="s">
        <v>29</v>
      </c>
      <c r="B18" s="60"/>
      <c r="C18" s="11"/>
      <c r="D18" s="11"/>
    </row>
    <row r="19" spans="1:5">
      <c r="B19" s="12" t="s">
        <v>30</v>
      </c>
    </row>
    <row r="20" spans="1:5">
      <c r="B20" s="2" t="s">
        <v>36</v>
      </c>
    </row>
    <row r="21" spans="1:5">
      <c r="C21" s="16" t="s">
        <v>37</v>
      </c>
      <c r="D21" s="13" t="s">
        <v>0</v>
      </c>
      <c r="E21" s="13" t="s">
        <v>1</v>
      </c>
    </row>
    <row r="22" spans="1:5">
      <c r="C22" s="16" t="s">
        <v>38</v>
      </c>
      <c r="D22" s="7">
        <v>0.9</v>
      </c>
      <c r="E22" s="7">
        <v>0.5</v>
      </c>
    </row>
    <row r="23" spans="1:5">
      <c r="C23" s="16" t="s">
        <v>39</v>
      </c>
      <c r="D23" s="7">
        <v>1.1000000000000001</v>
      </c>
      <c r="E23" s="7">
        <v>0.6</v>
      </c>
    </row>
    <row r="24" spans="1:5">
      <c r="C24" s="16" t="s">
        <v>40</v>
      </c>
      <c r="D24" s="7">
        <v>1.3</v>
      </c>
      <c r="E24" s="7">
        <v>0.8</v>
      </c>
    </row>
  </sheetData>
  <mergeCells count="8">
    <mergeCell ref="A15:C15"/>
    <mergeCell ref="A18:B18"/>
    <mergeCell ref="K2:M2"/>
    <mergeCell ref="A1:M1"/>
    <mergeCell ref="A12:C12"/>
    <mergeCell ref="A13:C13"/>
    <mergeCell ref="A14:C14"/>
    <mergeCell ref="E2:G2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38A4-8714-4696-A695-5C170181BBA0}">
  <dimension ref="A1:M25"/>
  <sheetViews>
    <sheetView topLeftCell="A7" workbookViewId="0">
      <selection activeCell="E15" sqref="E15"/>
    </sheetView>
  </sheetViews>
  <sheetFormatPr defaultColWidth="9" defaultRowHeight="15"/>
  <cols>
    <col min="1" max="1" width="5.125" style="2" bestFit="1" customWidth="1"/>
    <col min="2" max="2" width="8.625" style="2" bestFit="1" customWidth="1"/>
    <col min="3" max="3" width="9" style="2"/>
    <col min="4" max="4" width="36.75" style="2" bestFit="1" customWidth="1"/>
    <col min="5" max="7" width="27.625" style="2" customWidth="1"/>
    <col min="8" max="8" width="9.625" style="2" bestFit="1" customWidth="1"/>
    <col min="9" max="9" width="13.875" style="2" bestFit="1" customWidth="1"/>
    <col min="10" max="10" width="17.375" style="2" bestFit="1" customWidth="1"/>
    <col min="11" max="11" width="13.125" style="2" customWidth="1"/>
    <col min="12" max="12" width="10.625" style="2" bestFit="1" customWidth="1"/>
    <col min="13" max="13" width="12.75" style="2" bestFit="1" customWidth="1"/>
    <col min="14" max="16384" width="9" style="2"/>
  </cols>
  <sheetData>
    <row r="1" spans="1:13" ht="60" customHeight="1">
      <c r="A1" s="62" t="s">
        <v>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15.75">
      <c r="A2" s="3" t="s">
        <v>5</v>
      </c>
      <c r="B2" s="3" t="s">
        <v>8</v>
      </c>
      <c r="C2" s="3" t="s">
        <v>10</v>
      </c>
      <c r="D2" s="4" t="s">
        <v>11</v>
      </c>
      <c r="E2" s="61" t="s">
        <v>12</v>
      </c>
      <c r="F2" s="61"/>
      <c r="G2" s="61"/>
      <c r="H2" s="4" t="s">
        <v>13</v>
      </c>
      <c r="I2" s="4" t="s">
        <v>14</v>
      </c>
      <c r="J2" s="4" t="s">
        <v>15</v>
      </c>
      <c r="K2" s="61" t="s">
        <v>16</v>
      </c>
      <c r="L2" s="61"/>
      <c r="M2" s="61"/>
    </row>
    <row r="3" spans="1:13">
      <c r="A3" s="5"/>
      <c r="B3" s="5"/>
      <c r="C3" s="5"/>
      <c r="D3" s="6" t="s">
        <v>17</v>
      </c>
      <c r="E3" s="6" t="s">
        <v>18</v>
      </c>
      <c r="F3" s="6" t="s">
        <v>19</v>
      </c>
      <c r="G3" s="6" t="s">
        <v>20</v>
      </c>
      <c r="H3" s="6" t="s">
        <v>2</v>
      </c>
      <c r="I3" s="6" t="s">
        <v>3</v>
      </c>
      <c r="J3" s="6" t="s">
        <v>4</v>
      </c>
      <c r="K3" s="6" t="s">
        <v>21</v>
      </c>
      <c r="L3" s="6" t="s">
        <v>22</v>
      </c>
      <c r="M3" s="6" t="s">
        <v>23</v>
      </c>
    </row>
    <row r="4" spans="1:13">
      <c r="A4" s="7">
        <v>1</v>
      </c>
      <c r="B4" s="7">
        <v>314844</v>
      </c>
      <c r="C4" s="7" t="s">
        <v>6</v>
      </c>
      <c r="D4" s="8">
        <v>5978850</v>
      </c>
      <c r="E4" s="8">
        <v>1949000</v>
      </c>
      <c r="F4" s="8">
        <v>1400000</v>
      </c>
      <c r="G4" s="8">
        <v>1100000</v>
      </c>
      <c r="H4" s="9">
        <v>1</v>
      </c>
      <c r="I4" s="9">
        <v>1.3</v>
      </c>
      <c r="J4" s="9">
        <v>12</v>
      </c>
      <c r="K4" s="8">
        <f>SUM(D4:G4)*H4*(J4/12)</f>
        <v>10427850</v>
      </c>
      <c r="L4" s="8">
        <f>SUM(D4:G4)*I4*(J4/12)</f>
        <v>13556205</v>
      </c>
      <c r="M4" s="10">
        <f>SUM(K4:L4)</f>
        <v>23984055</v>
      </c>
    </row>
    <row r="5" spans="1:13">
      <c r="A5" s="7">
        <v>2</v>
      </c>
      <c r="B5" s="7">
        <v>313582</v>
      </c>
      <c r="C5" s="7" t="s">
        <v>7</v>
      </c>
      <c r="D5" s="8">
        <v>7269151</v>
      </c>
      <c r="E5" s="8">
        <v>981000</v>
      </c>
      <c r="F5" s="8">
        <v>0</v>
      </c>
      <c r="G5" s="8">
        <v>900000</v>
      </c>
      <c r="H5" s="9">
        <v>1</v>
      </c>
      <c r="I5" s="9">
        <v>1.3</v>
      </c>
      <c r="J5" s="9">
        <v>11.9</v>
      </c>
      <c r="K5" s="8">
        <f>SUM(D5:G5)*H5*(J5/12)</f>
        <v>9073899.7416666672</v>
      </c>
      <c r="L5" s="8">
        <f>SUM(D5:G5)*I5*(J5/12)</f>
        <v>11796069.664166668</v>
      </c>
      <c r="M5" s="10">
        <f>SUM(K5:L5)</f>
        <v>20869969.405833334</v>
      </c>
    </row>
    <row r="6" spans="1:13">
      <c r="A6" s="7"/>
      <c r="B6" s="7"/>
      <c r="C6" s="7"/>
      <c r="D6" s="8"/>
      <c r="E6" s="8"/>
      <c r="F6" s="8"/>
      <c r="G6" s="8"/>
      <c r="H6" s="9"/>
      <c r="I6" s="9"/>
      <c r="J6" s="9"/>
      <c r="K6" s="8"/>
      <c r="L6" s="8"/>
      <c r="M6" s="10"/>
    </row>
    <row r="7" spans="1:13">
      <c r="A7" s="7"/>
      <c r="B7" s="7"/>
      <c r="C7" s="7"/>
      <c r="D7" s="8"/>
      <c r="E7" s="8"/>
      <c r="F7" s="8"/>
      <c r="G7" s="8"/>
      <c r="H7" s="9"/>
      <c r="I7" s="9"/>
      <c r="J7" s="9"/>
      <c r="K7" s="8"/>
      <c r="L7" s="8"/>
      <c r="M7" s="10"/>
    </row>
    <row r="8" spans="1:13">
      <c r="A8" s="7"/>
      <c r="B8" s="7"/>
      <c r="C8" s="7"/>
      <c r="D8" s="8"/>
      <c r="E8" s="8"/>
      <c r="F8" s="8"/>
      <c r="G8" s="8"/>
      <c r="H8" s="9"/>
      <c r="I8" s="9"/>
      <c r="J8" s="9"/>
      <c r="K8" s="8"/>
      <c r="L8" s="8"/>
      <c r="M8" s="10"/>
    </row>
    <row r="9" spans="1:13">
      <c r="A9" s="7"/>
      <c r="B9" s="7"/>
      <c r="C9" s="7"/>
      <c r="D9" s="8"/>
      <c r="E9" s="8"/>
      <c r="F9" s="8"/>
      <c r="G9" s="8"/>
      <c r="H9" s="9"/>
      <c r="I9" s="9"/>
      <c r="J9" s="9"/>
      <c r="K9" s="8"/>
      <c r="L9" s="8"/>
      <c r="M9" s="10"/>
    </row>
    <row r="10" spans="1:13">
      <c r="A10" s="7"/>
      <c r="B10" s="7"/>
      <c r="C10" s="7"/>
      <c r="D10" s="8"/>
      <c r="E10" s="8"/>
      <c r="F10" s="8"/>
      <c r="G10" s="8"/>
      <c r="H10" s="9"/>
      <c r="I10" s="9"/>
      <c r="J10" s="9"/>
      <c r="K10" s="8"/>
      <c r="L10" s="8"/>
      <c r="M10" s="10"/>
    </row>
    <row r="12" spans="1:13">
      <c r="A12" s="59" t="s">
        <v>24</v>
      </c>
      <c r="B12" s="59"/>
      <c r="C12" s="59"/>
      <c r="D12" s="15" t="s">
        <v>25</v>
      </c>
    </row>
    <row r="13" spans="1:13">
      <c r="A13" s="59" t="s">
        <v>26</v>
      </c>
      <c r="B13" s="59"/>
      <c r="C13" s="59"/>
      <c r="D13" s="15" t="s">
        <v>41</v>
      </c>
    </row>
    <row r="14" spans="1:13">
      <c r="A14" s="59" t="s">
        <v>35</v>
      </c>
      <c r="B14" s="59"/>
      <c r="C14" s="59"/>
      <c r="D14" s="15">
        <v>400000</v>
      </c>
    </row>
    <row r="15" spans="1:13">
      <c r="A15" s="59" t="s">
        <v>27</v>
      </c>
      <c r="B15" s="59"/>
      <c r="C15" s="59"/>
      <c r="D15" s="15" t="s">
        <v>28</v>
      </c>
    </row>
    <row r="16" spans="1:13">
      <c r="A16" s="14"/>
      <c r="B16" s="14"/>
      <c r="C16" s="14"/>
    </row>
    <row r="18" spans="1:8">
      <c r="A18" s="60" t="s">
        <v>29</v>
      </c>
      <c r="B18" s="60"/>
      <c r="C18" s="11"/>
      <c r="D18" s="11"/>
    </row>
    <row r="19" spans="1:8">
      <c r="B19" s="12" t="s">
        <v>30</v>
      </c>
      <c r="H19" s="2" t="s">
        <v>70</v>
      </c>
    </row>
    <row r="20" spans="1:8">
      <c r="B20" s="2" t="s">
        <v>36</v>
      </c>
    </row>
    <row r="21" spans="1:8">
      <c r="C21" s="16" t="s">
        <v>37</v>
      </c>
      <c r="D21" s="13" t="s">
        <v>0</v>
      </c>
      <c r="E21" s="13" t="s">
        <v>1</v>
      </c>
    </row>
    <row r="22" spans="1:8">
      <c r="C22" s="16" t="s">
        <v>38</v>
      </c>
      <c r="D22" s="7">
        <v>0.9</v>
      </c>
      <c r="E22" s="7">
        <v>0.5</v>
      </c>
    </row>
    <row r="23" spans="1:8">
      <c r="C23" s="16" t="s">
        <v>39</v>
      </c>
      <c r="D23" s="7">
        <v>1.1000000000000001</v>
      </c>
      <c r="E23" s="7">
        <v>0.6</v>
      </c>
    </row>
    <row r="24" spans="1:8">
      <c r="C24" s="16" t="s">
        <v>40</v>
      </c>
      <c r="D24" s="7">
        <v>1.3</v>
      </c>
      <c r="E24" s="7">
        <v>0.8</v>
      </c>
    </row>
    <row r="25" spans="1:8">
      <c r="D25" s="17">
        <v>23984055</v>
      </c>
      <c r="E25" s="17">
        <v>18770130</v>
      </c>
      <c r="F25" s="10">
        <f>D25-E25</f>
        <v>5213925</v>
      </c>
    </row>
  </sheetData>
  <mergeCells count="8">
    <mergeCell ref="A15:C15"/>
    <mergeCell ref="A18:B18"/>
    <mergeCell ref="A1:M1"/>
    <mergeCell ref="E2:G2"/>
    <mergeCell ref="K2:M2"/>
    <mergeCell ref="A12:C12"/>
    <mergeCell ref="A13:C13"/>
    <mergeCell ref="A14:C14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598F-A1A7-4831-85A0-E0A29AA3F5A3}">
  <dimension ref="A1:M36"/>
  <sheetViews>
    <sheetView workbookViewId="0">
      <selection activeCell="K30" sqref="K30"/>
    </sheetView>
  </sheetViews>
  <sheetFormatPr defaultRowHeight="14.25"/>
  <cols>
    <col min="1" max="1" width="5.125" bestFit="1" customWidth="1"/>
    <col min="2" max="2" width="8.375" bestFit="1" customWidth="1"/>
    <col min="3" max="3" width="9.625" bestFit="1" customWidth="1"/>
    <col min="4" max="4" width="13.875" bestFit="1" customWidth="1"/>
    <col min="5" max="5" width="17.375" bestFit="1" customWidth="1"/>
    <col min="6" max="6" width="13.125" customWidth="1"/>
    <col min="7" max="7" width="13.375" customWidth="1"/>
    <col min="9" max="9" width="15.375" bestFit="1" customWidth="1"/>
    <col min="11" max="11" width="11.75" bestFit="1" customWidth="1"/>
    <col min="12" max="12" width="11.25" bestFit="1" customWidth="1"/>
    <col min="13" max="13" width="21.375" customWidth="1"/>
  </cols>
  <sheetData>
    <row r="1" spans="1:13" ht="30">
      <c r="A1" s="62" t="s">
        <v>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15.75">
      <c r="A2" s="3" t="s">
        <v>5</v>
      </c>
      <c r="B2" s="3" t="s">
        <v>8</v>
      </c>
      <c r="C2" s="3" t="s">
        <v>10</v>
      </c>
      <c r="D2" s="4" t="s">
        <v>11</v>
      </c>
      <c r="E2" s="61" t="s">
        <v>12</v>
      </c>
      <c r="F2" s="61"/>
      <c r="G2" s="61"/>
      <c r="H2" s="4" t="s">
        <v>13</v>
      </c>
      <c r="I2" s="4" t="s">
        <v>14</v>
      </c>
      <c r="J2" s="4" t="s">
        <v>15</v>
      </c>
      <c r="K2" s="61" t="s">
        <v>16</v>
      </c>
      <c r="L2" s="61"/>
      <c r="M2" s="61"/>
    </row>
    <row r="3" spans="1:13">
      <c r="A3" s="5"/>
      <c r="B3" s="5"/>
      <c r="C3" s="5"/>
      <c r="D3" s="6" t="s">
        <v>17</v>
      </c>
      <c r="E3" s="6" t="s">
        <v>18</v>
      </c>
      <c r="F3" s="6" t="s">
        <v>19</v>
      </c>
      <c r="G3" s="6" t="s">
        <v>20</v>
      </c>
      <c r="H3" s="6" t="s">
        <v>2</v>
      </c>
      <c r="I3" s="6" t="s">
        <v>3</v>
      </c>
      <c r="J3" s="6" t="s">
        <v>4</v>
      </c>
      <c r="K3" s="6" t="s">
        <v>21</v>
      </c>
      <c r="L3" s="6" t="s">
        <v>22</v>
      </c>
      <c r="M3" s="6" t="s">
        <v>23</v>
      </c>
    </row>
    <row r="4" spans="1:13" ht="15">
      <c r="A4" s="7">
        <v>1</v>
      </c>
      <c r="B4" s="7">
        <v>314844</v>
      </c>
      <c r="C4" s="7" t="s">
        <v>6</v>
      </c>
      <c r="D4" s="8">
        <v>5362500</v>
      </c>
      <c r="E4" s="8">
        <v>1793000</v>
      </c>
      <c r="F4" s="8">
        <v>1400000</v>
      </c>
      <c r="G4" s="8">
        <v>1100000</v>
      </c>
      <c r="H4" s="9">
        <v>1</v>
      </c>
      <c r="I4" s="9">
        <v>1.3</v>
      </c>
      <c r="J4" s="9">
        <v>11.8</v>
      </c>
      <c r="K4" s="8">
        <f>SUM(D4:G4)*H4*(J4/12)</f>
        <v>9494575</v>
      </c>
      <c r="L4" s="8">
        <f>SUM(D4:G4)*I4*(J4/12)</f>
        <v>12342947.5</v>
      </c>
      <c r="M4" s="10">
        <f>SUM(K4:L4)</f>
        <v>21837522.5</v>
      </c>
    </row>
    <row r="5" spans="1:13" ht="15">
      <c r="A5" s="7">
        <v>2</v>
      </c>
      <c r="B5" s="7">
        <v>316249</v>
      </c>
      <c r="C5" s="7" t="s">
        <v>31</v>
      </c>
      <c r="D5" s="8">
        <v>4862000</v>
      </c>
      <c r="E5" s="8">
        <v>1414000</v>
      </c>
      <c r="F5" s="8">
        <v>0</v>
      </c>
      <c r="G5" s="8">
        <v>300000</v>
      </c>
      <c r="H5" s="9">
        <v>1</v>
      </c>
      <c r="I5" s="9">
        <v>0.8</v>
      </c>
      <c r="J5" s="9">
        <v>11.6</v>
      </c>
      <c r="K5" s="8">
        <f>SUM(D5:G5)*H5*(J5/12)</f>
        <v>6356800</v>
      </c>
      <c r="L5" s="8">
        <f>SUM(D5:G5)*I5*(J5/12)</f>
        <v>5085440</v>
      </c>
      <c r="M5" s="10">
        <f>SUM(K5:L5)</f>
        <v>11442240</v>
      </c>
    </row>
    <row r="6" spans="1:13" ht="15">
      <c r="A6" s="7">
        <v>3</v>
      </c>
      <c r="B6" s="7">
        <v>316503</v>
      </c>
      <c r="C6" s="7" t="s">
        <v>32</v>
      </c>
      <c r="D6" s="8">
        <v>4862000</v>
      </c>
      <c r="E6" s="8">
        <v>1414000</v>
      </c>
      <c r="F6" s="8">
        <v>0</v>
      </c>
      <c r="G6" s="8">
        <v>0</v>
      </c>
      <c r="H6" s="9">
        <v>1</v>
      </c>
      <c r="I6" s="9">
        <v>0.6</v>
      </c>
      <c r="J6" s="9">
        <v>11.7</v>
      </c>
      <c r="K6" s="8">
        <f t="shared" ref="K6:K8" si="0">SUM(D6:G6)*H6*(J6/12)</f>
        <v>6119100</v>
      </c>
      <c r="L6" s="8">
        <f t="shared" ref="L6:L8" si="1">SUM(D6:G6)*I6*(J6/12)</f>
        <v>3671460</v>
      </c>
      <c r="M6" s="10">
        <f t="shared" ref="M6:M8" si="2">SUM(K6:L6)</f>
        <v>9790560</v>
      </c>
    </row>
    <row r="7" spans="1:13" ht="15">
      <c r="A7" s="7">
        <v>4</v>
      </c>
      <c r="B7" s="7">
        <v>321541</v>
      </c>
      <c r="C7" s="7" t="s">
        <v>33</v>
      </c>
      <c r="D7" s="8">
        <v>4267250</v>
      </c>
      <c r="E7" s="8">
        <v>773000</v>
      </c>
      <c r="F7" s="8">
        <v>0</v>
      </c>
      <c r="G7" s="8">
        <v>0</v>
      </c>
      <c r="H7" s="9">
        <v>1</v>
      </c>
      <c r="I7" s="9">
        <v>0.6</v>
      </c>
      <c r="J7" s="9">
        <v>11.8</v>
      </c>
      <c r="K7" s="8">
        <f t="shared" si="0"/>
        <v>4956245.833333334</v>
      </c>
      <c r="L7" s="8">
        <f t="shared" si="1"/>
        <v>2973747.5</v>
      </c>
      <c r="M7" s="10">
        <f t="shared" si="2"/>
        <v>7929993.333333334</v>
      </c>
    </row>
    <row r="8" spans="1:13" ht="15">
      <c r="A8" s="7">
        <v>5</v>
      </c>
      <c r="B8" s="7">
        <v>321574</v>
      </c>
      <c r="C8" s="7" t="s">
        <v>34</v>
      </c>
      <c r="D8" s="8">
        <v>4410250</v>
      </c>
      <c r="E8" s="8">
        <v>966000</v>
      </c>
      <c r="F8" s="8">
        <v>0</v>
      </c>
      <c r="G8" s="8">
        <v>0</v>
      </c>
      <c r="H8" s="9">
        <v>1</v>
      </c>
      <c r="I8" s="9">
        <v>0.6</v>
      </c>
      <c r="J8" s="9">
        <v>11.7</v>
      </c>
      <c r="K8" s="8">
        <f t="shared" si="0"/>
        <v>5241843.75</v>
      </c>
      <c r="L8" s="8">
        <f t="shared" si="1"/>
        <v>3145106.25</v>
      </c>
      <c r="M8" s="10">
        <f t="shared" si="2"/>
        <v>8386950</v>
      </c>
    </row>
    <row r="9" spans="1:13" ht="15">
      <c r="A9" s="7"/>
      <c r="B9" s="7"/>
      <c r="C9" s="7"/>
      <c r="D9" s="8"/>
      <c r="E9" s="8"/>
      <c r="F9" s="8"/>
      <c r="G9" s="8"/>
      <c r="H9" s="9"/>
      <c r="I9" s="9"/>
      <c r="J9" s="9"/>
      <c r="K9" s="8"/>
      <c r="L9" s="8"/>
      <c r="M9" s="10"/>
    </row>
    <row r="10" spans="1:13" ht="15">
      <c r="A10" s="7"/>
      <c r="B10" s="7"/>
      <c r="C10" s="7"/>
      <c r="D10" s="8"/>
      <c r="E10" s="8"/>
      <c r="F10" s="8"/>
      <c r="G10" s="8"/>
      <c r="H10" s="9"/>
      <c r="I10" s="9"/>
      <c r="J10" s="9"/>
      <c r="K10" s="8"/>
      <c r="L10" s="8"/>
      <c r="M10" s="10"/>
    </row>
    <row r="15" spans="1:13" ht="15">
      <c r="A15" s="7">
        <v>1</v>
      </c>
      <c r="B15" s="7">
        <v>314844</v>
      </c>
      <c r="C15" s="7" t="s">
        <v>6</v>
      </c>
      <c r="D15" s="8">
        <v>5362500</v>
      </c>
      <c r="E15" s="8">
        <v>1793000</v>
      </c>
      <c r="F15" s="8">
        <v>1400000</v>
      </c>
      <c r="G15" s="8">
        <v>1100000</v>
      </c>
      <c r="H15" s="9">
        <v>1</v>
      </c>
      <c r="I15" s="9">
        <v>0.8</v>
      </c>
      <c r="J15" s="9">
        <v>11.8</v>
      </c>
      <c r="K15" s="8">
        <f>SUM(D15:G15)*H15*(J15/12)</f>
        <v>9494575</v>
      </c>
      <c r="L15" s="8">
        <f>SUM(D15:G15)*I15*(J15/12)</f>
        <v>7595660</v>
      </c>
      <c r="M15" s="10">
        <f>SUM(K15:L15)</f>
        <v>17090235</v>
      </c>
    </row>
    <row r="20" spans="5:13">
      <c r="M20" s="1">
        <f>M4-M15</f>
        <v>4747287.5</v>
      </c>
    </row>
    <row r="25" spans="5:13" ht="15">
      <c r="E25" s="8"/>
      <c r="F25" s="8">
        <v>300000</v>
      </c>
      <c r="I25" s="8">
        <v>400000</v>
      </c>
    </row>
    <row r="26" spans="5:13" ht="15">
      <c r="E26" s="8"/>
      <c r="F26" s="8">
        <v>300000</v>
      </c>
      <c r="I26" s="8">
        <v>400000</v>
      </c>
    </row>
    <row r="27" spans="5:13" ht="15">
      <c r="E27" s="8"/>
      <c r="F27" s="8">
        <v>500000</v>
      </c>
      <c r="G27" s="1">
        <f>SUM(F25:F28)</f>
        <v>1600000</v>
      </c>
      <c r="I27" s="8">
        <v>600000</v>
      </c>
      <c r="J27" s="1">
        <f>SUM(I25:I28)</f>
        <v>2000000</v>
      </c>
    </row>
    <row r="28" spans="5:13" ht="15">
      <c r="E28" s="8"/>
      <c r="F28" s="8">
        <v>500000</v>
      </c>
      <c r="I28" s="8">
        <v>600000</v>
      </c>
    </row>
    <row r="29" spans="5:13" ht="15">
      <c r="E29" s="8"/>
      <c r="F29" s="8"/>
    </row>
    <row r="30" spans="5:13" ht="15">
      <c r="E30" s="8"/>
      <c r="F30" s="8"/>
    </row>
    <row r="31" spans="5:13" ht="15">
      <c r="E31" s="8"/>
      <c r="F31" s="8"/>
    </row>
    <row r="32" spans="5:13" ht="15">
      <c r="E32" s="8"/>
      <c r="F32" s="8"/>
    </row>
    <row r="33" spans="5:6" ht="15">
      <c r="E33" s="8"/>
      <c r="F33" s="8"/>
    </row>
    <row r="34" spans="5:6" ht="15">
      <c r="E34" s="8"/>
      <c r="F34" s="8"/>
    </row>
    <row r="35" spans="5:6" ht="15">
      <c r="E35" s="8"/>
      <c r="F35" s="8"/>
    </row>
    <row r="36" spans="5:6" ht="15">
      <c r="E36" s="8"/>
      <c r="F36" s="8"/>
    </row>
  </sheetData>
  <mergeCells count="3">
    <mergeCell ref="A1:M1"/>
    <mergeCell ref="E2:G2"/>
    <mergeCell ref="K2:M2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1D62-5C58-4E4A-8219-899BD4F9FC70}">
  <dimension ref="A1:T49"/>
  <sheetViews>
    <sheetView tabSelected="1" topLeftCell="H11" zoomScale="85" zoomScaleNormal="85" workbookViewId="0">
      <selection activeCell="T50" sqref="T50"/>
    </sheetView>
  </sheetViews>
  <sheetFormatPr defaultColWidth="9" defaultRowHeight="15"/>
  <cols>
    <col min="1" max="1" width="4.125" style="2" customWidth="1"/>
    <col min="2" max="2" width="8.375" style="2" bestFit="1" customWidth="1"/>
    <col min="3" max="3" width="7.75" style="2" bestFit="1" customWidth="1"/>
    <col min="4" max="4" width="12.375" style="2" bestFit="1" customWidth="1"/>
    <col min="5" max="5" width="14.75" style="2" bestFit="1" customWidth="1"/>
    <col min="6" max="6" width="11.75" style="2" bestFit="1" customWidth="1"/>
    <col min="7" max="7" width="29" style="2" customWidth="1"/>
    <col min="8" max="8" width="37.375" style="2" customWidth="1"/>
    <col min="9" max="9" width="5.75" style="2" customWidth="1"/>
    <col min="10" max="10" width="13.875" style="2" customWidth="1"/>
    <col min="11" max="11" width="26.5" style="2" customWidth="1"/>
    <col min="12" max="12" width="10.75" style="2" customWidth="1"/>
    <col min="13" max="13" width="16.25" style="2" customWidth="1"/>
    <col min="14" max="14" width="15.375" style="2" customWidth="1"/>
    <col min="15" max="15" width="17.375" style="2" customWidth="1"/>
    <col min="16" max="16" width="7.375" style="2" customWidth="1"/>
    <col min="17" max="17" width="10.375" style="2" bestFit="1" customWidth="1"/>
    <col min="18" max="18" width="9" style="2"/>
    <col min="19" max="19" width="16.875" style="2" bestFit="1" customWidth="1"/>
    <col min="20" max="20" width="14.125" style="2" bestFit="1" customWidth="1"/>
    <col min="21" max="16384" width="9" style="2"/>
  </cols>
  <sheetData>
    <row r="1" spans="1:13" ht="30">
      <c r="A1" s="62" t="s">
        <v>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15.75">
      <c r="A2" s="3" t="s">
        <v>5</v>
      </c>
      <c r="B2" s="3" t="s">
        <v>8</v>
      </c>
      <c r="C2" s="3" t="s">
        <v>10</v>
      </c>
      <c r="D2" s="4" t="s">
        <v>11</v>
      </c>
      <c r="E2" s="61" t="s">
        <v>12</v>
      </c>
      <c r="F2" s="61"/>
      <c r="G2" s="61"/>
      <c r="H2" s="4" t="s">
        <v>13</v>
      </c>
      <c r="I2" s="4" t="s">
        <v>14</v>
      </c>
      <c r="J2" s="4" t="s">
        <v>15</v>
      </c>
      <c r="K2" s="61" t="s">
        <v>16</v>
      </c>
      <c r="L2" s="61"/>
      <c r="M2" s="61"/>
    </row>
    <row r="3" spans="1:13">
      <c r="A3" s="5"/>
      <c r="B3" s="5"/>
      <c r="C3" s="5"/>
      <c r="D3" s="6" t="s">
        <v>17</v>
      </c>
      <c r="E3" s="6" t="s">
        <v>18</v>
      </c>
      <c r="F3" s="6" t="s">
        <v>19</v>
      </c>
      <c r="G3" s="6" t="s">
        <v>20</v>
      </c>
      <c r="H3" s="6" t="s">
        <v>2</v>
      </c>
      <c r="I3" s="6" t="s">
        <v>3</v>
      </c>
      <c r="J3" s="6" t="s">
        <v>4</v>
      </c>
      <c r="K3" s="6" t="s">
        <v>21</v>
      </c>
      <c r="L3" s="6" t="s">
        <v>22</v>
      </c>
      <c r="M3" s="6" t="s">
        <v>23</v>
      </c>
    </row>
    <row r="4" spans="1:13">
      <c r="A4" s="7">
        <v>1</v>
      </c>
      <c r="B4" s="7">
        <v>314844</v>
      </c>
      <c r="C4" s="7" t="s">
        <v>6</v>
      </c>
      <c r="D4" s="8">
        <v>5362500</v>
      </c>
      <c r="E4" s="8">
        <v>1793000</v>
      </c>
      <c r="F4" s="8">
        <v>1400000</v>
      </c>
      <c r="G4" s="8">
        <v>1100000</v>
      </c>
      <c r="H4" s="9">
        <v>1</v>
      </c>
      <c r="I4" s="9">
        <v>1.3</v>
      </c>
      <c r="J4" s="9">
        <v>11.8</v>
      </c>
      <c r="K4" s="8">
        <f>SUM(D4:G4)*H4*(J4/12)</f>
        <v>9494575</v>
      </c>
      <c r="L4" s="8">
        <f>SUM(D4:G4)*I4*(J4/12)</f>
        <v>12342947.5</v>
      </c>
      <c r="M4" s="10">
        <f>SUM(K4:L4)</f>
        <v>21837522.5</v>
      </c>
    </row>
    <row r="5" spans="1:13">
      <c r="A5" s="7">
        <v>2</v>
      </c>
      <c r="B5" s="7"/>
      <c r="C5" s="7"/>
      <c r="D5" s="8"/>
      <c r="E5" s="8"/>
      <c r="F5" s="8"/>
      <c r="G5" s="8"/>
      <c r="H5" s="9">
        <v>1</v>
      </c>
      <c r="I5" s="9">
        <v>1.3</v>
      </c>
      <c r="J5" s="9">
        <v>11.8</v>
      </c>
      <c r="K5" s="8">
        <f>SUM(D5:G5)*H5*(J5/12)</f>
        <v>0</v>
      </c>
      <c r="L5" s="8">
        <f>SUM(D5:G5)*I5*(J5/12)</f>
        <v>0</v>
      </c>
      <c r="M5" s="10">
        <f>SUM(K5:L5)</f>
        <v>0</v>
      </c>
    </row>
    <row r="6" spans="1:13">
      <c r="A6" s="7">
        <v>3</v>
      </c>
      <c r="B6" s="7"/>
      <c r="C6" s="7"/>
      <c r="D6" s="8"/>
      <c r="E6" s="8"/>
      <c r="F6" s="8"/>
      <c r="G6" s="8"/>
      <c r="H6" s="9">
        <v>1</v>
      </c>
      <c r="I6" s="9">
        <v>1.3</v>
      </c>
      <c r="J6" s="9">
        <v>11.8</v>
      </c>
      <c r="K6" s="8">
        <f t="shared" ref="K6:K8" si="0">SUM(D6:G6)*H6*(J6/12)</f>
        <v>0</v>
      </c>
      <c r="L6" s="8">
        <f t="shared" ref="L6:L8" si="1">SUM(D6:G6)*I6*(J6/12)</f>
        <v>0</v>
      </c>
      <c r="M6" s="10">
        <f t="shared" ref="M6:M8" si="2">SUM(K6:L6)</f>
        <v>0</v>
      </c>
    </row>
    <row r="7" spans="1:13">
      <c r="A7" s="7">
        <v>4</v>
      </c>
      <c r="B7" s="7"/>
      <c r="C7" s="7"/>
      <c r="D7" s="8"/>
      <c r="E7" s="8"/>
      <c r="F7" s="8"/>
      <c r="G7" s="8"/>
      <c r="H7" s="9">
        <v>1</v>
      </c>
      <c r="I7" s="9">
        <v>1.3</v>
      </c>
      <c r="J7" s="9">
        <v>11.8</v>
      </c>
      <c r="K7" s="8">
        <f t="shared" si="0"/>
        <v>0</v>
      </c>
      <c r="L7" s="8">
        <f t="shared" si="1"/>
        <v>0</v>
      </c>
      <c r="M7" s="10">
        <f t="shared" si="2"/>
        <v>0</v>
      </c>
    </row>
    <row r="8" spans="1:13">
      <c r="A8" s="7">
        <v>5</v>
      </c>
      <c r="B8" s="7"/>
      <c r="C8" s="7"/>
      <c r="D8" s="8"/>
      <c r="E8" s="8"/>
      <c r="F8" s="8"/>
      <c r="G8" s="8"/>
      <c r="H8" s="9">
        <v>1</v>
      </c>
      <c r="I8" s="9">
        <v>1.3</v>
      </c>
      <c r="J8" s="9">
        <v>11.8</v>
      </c>
      <c r="K8" s="8">
        <f t="shared" si="0"/>
        <v>0</v>
      </c>
      <c r="L8" s="8">
        <f t="shared" si="1"/>
        <v>0</v>
      </c>
      <c r="M8" s="10">
        <f t="shared" si="2"/>
        <v>0</v>
      </c>
    </row>
    <row r="9" spans="1:13">
      <c r="A9" s="7"/>
      <c r="B9" s="7"/>
      <c r="C9" s="7"/>
      <c r="D9" s="8"/>
      <c r="E9" s="8"/>
      <c r="F9" s="8"/>
      <c r="G9" s="8"/>
      <c r="H9" s="9"/>
      <c r="I9" s="9"/>
      <c r="J9" s="9"/>
      <c r="K9" s="8"/>
      <c r="L9" s="8"/>
      <c r="M9" s="10"/>
    </row>
    <row r="10" spans="1:13">
      <c r="A10" s="7"/>
      <c r="B10" s="7"/>
      <c r="C10" s="7"/>
      <c r="D10" s="8"/>
      <c r="E10" s="8"/>
      <c r="F10" s="8"/>
      <c r="G10" s="8"/>
      <c r="H10" s="9"/>
      <c r="I10" s="9"/>
      <c r="J10" s="9"/>
      <c r="K10" s="8"/>
      <c r="L10" s="8"/>
      <c r="M10" s="10"/>
    </row>
    <row r="15" spans="1:13">
      <c r="A15" s="7">
        <v>1</v>
      </c>
      <c r="B15" s="7">
        <v>314844</v>
      </c>
      <c r="C15" s="7" t="s">
        <v>6</v>
      </c>
      <c r="D15" s="8">
        <v>5362500</v>
      </c>
      <c r="E15" s="8">
        <v>1793000</v>
      </c>
      <c r="F15" s="8">
        <v>1400000</v>
      </c>
      <c r="G15" s="8">
        <v>1100000</v>
      </c>
      <c r="H15" s="9">
        <v>1</v>
      </c>
      <c r="I15" s="9">
        <v>1.3</v>
      </c>
      <c r="J15" s="9">
        <v>11.8</v>
      </c>
      <c r="K15" s="8">
        <f>SUM(D15:G15)*H15*(J15/12)</f>
        <v>9494575</v>
      </c>
      <c r="L15" s="8">
        <f>SUM(D15:G15)*I15*(J15/12)</f>
        <v>12342947.5</v>
      </c>
      <c r="M15" s="10">
        <f>SUM(K15:L15)</f>
        <v>21837522.5</v>
      </c>
    </row>
    <row r="18" spans="5:20">
      <c r="P18" s="2" t="s">
        <v>44</v>
      </c>
      <c r="Q18" s="18">
        <v>600000</v>
      </c>
    </row>
    <row r="19" spans="5:20">
      <c r="P19" s="2" t="s">
        <v>45</v>
      </c>
      <c r="Q19" s="18">
        <v>480000</v>
      </c>
    </row>
    <row r="20" spans="5:20">
      <c r="M20" s="19">
        <f>M4-M15</f>
        <v>0</v>
      </c>
      <c r="P20" s="2" t="s">
        <v>42</v>
      </c>
      <c r="Q20" s="18">
        <v>340000</v>
      </c>
    </row>
    <row r="21" spans="5:20">
      <c r="Q21" s="18"/>
    </row>
    <row r="22" spans="5:20">
      <c r="J22" s="2" t="s">
        <v>46</v>
      </c>
      <c r="K22" s="8">
        <v>3450000</v>
      </c>
      <c r="Q22" s="18"/>
    </row>
    <row r="23" spans="5:20">
      <c r="J23" s="2" t="s">
        <v>47</v>
      </c>
      <c r="K23" s="19">
        <f>K22+1300000</f>
        <v>4750000</v>
      </c>
      <c r="Q23" s="18"/>
    </row>
    <row r="24" spans="5:20" ht="28.5">
      <c r="H24" s="7"/>
      <c r="I24" s="7" t="s">
        <v>48</v>
      </c>
      <c r="J24" s="6" t="s">
        <v>17</v>
      </c>
      <c r="K24" s="6" t="s">
        <v>18</v>
      </c>
      <c r="L24" s="6" t="s">
        <v>19</v>
      </c>
      <c r="M24" s="6" t="s">
        <v>20</v>
      </c>
      <c r="N24" s="20" t="s">
        <v>67</v>
      </c>
      <c r="O24" s="20" t="s">
        <v>66</v>
      </c>
      <c r="P24" s="21"/>
      <c r="Q24" s="18" t="s">
        <v>43</v>
      </c>
      <c r="S24" s="2" t="s">
        <v>77</v>
      </c>
      <c r="T24" s="2" t="s">
        <v>78</v>
      </c>
    </row>
    <row r="25" spans="5:20">
      <c r="E25" s="18"/>
      <c r="F25" s="18"/>
      <c r="G25" s="22" t="s">
        <v>65</v>
      </c>
      <c r="H25" s="23" t="s">
        <v>50</v>
      </c>
      <c r="I25" s="23">
        <v>1.65</v>
      </c>
      <c r="J25" s="24">
        <f>$K$22*I25</f>
        <v>5692500</v>
      </c>
      <c r="K25" s="24">
        <v>1793000</v>
      </c>
      <c r="L25" s="24">
        <v>1400000</v>
      </c>
      <c r="M25" s="24">
        <v>1100000</v>
      </c>
      <c r="N25" s="25">
        <f>SUM(J25:M25)</f>
        <v>9985500</v>
      </c>
      <c r="O25" s="25">
        <f>SUM(J25:M25)</f>
        <v>9985500</v>
      </c>
      <c r="P25" s="26"/>
      <c r="Q25" s="18">
        <f>SUM($Q$18:$Q$20)</f>
        <v>1420000</v>
      </c>
      <c r="S25" s="19">
        <f>N25+Q25</f>
        <v>11405500</v>
      </c>
      <c r="T25" s="19">
        <f>SUM(O25,Q25)</f>
        <v>11405500</v>
      </c>
    </row>
    <row r="26" spans="5:20">
      <c r="E26" s="18"/>
      <c r="F26" s="18"/>
      <c r="G26" s="22"/>
      <c r="H26" s="64" t="s">
        <v>60</v>
      </c>
      <c r="I26" s="64">
        <v>1.7330000000000001</v>
      </c>
      <c r="J26" s="65">
        <f t="shared" ref="J26:J27" si="3">$K$22*I26</f>
        <v>5978850</v>
      </c>
      <c r="K26" s="65">
        <v>1949000</v>
      </c>
      <c r="L26" s="66">
        <v>0</v>
      </c>
      <c r="M26" s="66">
        <v>1100000</v>
      </c>
      <c r="N26" s="67">
        <f t="shared" ref="N26:N27" si="4">SUM(J26:M26)</f>
        <v>9027850</v>
      </c>
      <c r="O26" s="67">
        <f>SUM(J26:M26)+1400000</f>
        <v>10427850</v>
      </c>
      <c r="P26" s="26"/>
      <c r="Q26" s="18">
        <f>SUM($Q$18:$Q$20)</f>
        <v>1420000</v>
      </c>
      <c r="S26" s="19">
        <f>N26+Q26</f>
        <v>10447850</v>
      </c>
      <c r="T26" s="19">
        <f>SUM(O26,Q26)</f>
        <v>11847850</v>
      </c>
    </row>
    <row r="27" spans="5:20">
      <c r="E27" s="18"/>
      <c r="F27" s="18"/>
      <c r="G27" s="22"/>
      <c r="H27" s="7" t="s">
        <v>61</v>
      </c>
      <c r="I27" s="7">
        <v>1.82</v>
      </c>
      <c r="J27" s="8">
        <f t="shared" si="3"/>
        <v>6279000</v>
      </c>
      <c r="K27" s="8">
        <v>2098000</v>
      </c>
      <c r="L27" s="24">
        <v>0</v>
      </c>
      <c r="M27" s="24">
        <v>1100000</v>
      </c>
      <c r="N27" s="27">
        <f t="shared" si="4"/>
        <v>9477000</v>
      </c>
      <c r="O27" s="27">
        <f>SUM(J27:M27)+1400000</f>
        <v>10877000</v>
      </c>
      <c r="P27" s="26"/>
      <c r="Q27" s="18">
        <f>SUM($Q$18:$Q$20)</f>
        <v>1420000</v>
      </c>
      <c r="S27" s="19">
        <f>N27+Q27</f>
        <v>10897000</v>
      </c>
      <c r="T27" s="19">
        <f t="shared" ref="T27:T47" si="5">SUM(O27,Q27)</f>
        <v>12297000</v>
      </c>
    </row>
    <row r="28" spans="5:20">
      <c r="E28" s="18"/>
      <c r="F28" s="18"/>
      <c r="G28" s="22"/>
      <c r="H28" s="28"/>
      <c r="I28" s="28"/>
      <c r="J28" s="29"/>
      <c r="K28" s="29"/>
      <c r="L28" s="29"/>
      <c r="M28" s="29"/>
      <c r="N28" s="30"/>
      <c r="O28" s="30"/>
      <c r="P28" s="31"/>
      <c r="Q28" s="32"/>
      <c r="R28" s="33"/>
      <c r="S28" s="34"/>
      <c r="T28" s="34"/>
    </row>
    <row r="29" spans="5:20">
      <c r="E29" s="18"/>
      <c r="F29" s="18"/>
      <c r="G29" s="22"/>
      <c r="H29" s="7" t="s">
        <v>62</v>
      </c>
      <c r="I29" s="7">
        <v>1.911</v>
      </c>
      <c r="J29" s="8">
        <f t="shared" ref="J29:J31" si="6">$K$22*I29</f>
        <v>6592950</v>
      </c>
      <c r="K29" s="8">
        <v>2242000</v>
      </c>
      <c r="L29" s="8">
        <v>0</v>
      </c>
      <c r="M29" s="8">
        <v>1100000</v>
      </c>
      <c r="N29" s="27">
        <f t="shared" ref="N29:N36" si="7">SUM(J29:M29)</f>
        <v>9934950</v>
      </c>
      <c r="O29" s="27">
        <f>SUM(J29:M29)+1400000</f>
        <v>11334950</v>
      </c>
      <c r="P29" s="19"/>
      <c r="Q29" s="18">
        <f>SUM($Q$18:$Q$20)</f>
        <v>1420000</v>
      </c>
      <c r="S29" s="19">
        <f>N29+Q29</f>
        <v>11354950</v>
      </c>
      <c r="T29" s="19">
        <f t="shared" si="5"/>
        <v>12754950</v>
      </c>
    </row>
    <row r="30" spans="5:20">
      <c r="E30" s="18"/>
      <c r="F30" s="18"/>
      <c r="G30" s="22"/>
      <c r="H30" s="7" t="s">
        <v>63</v>
      </c>
      <c r="I30" s="7">
        <v>2.0070000000000001</v>
      </c>
      <c r="J30" s="8">
        <f t="shared" si="6"/>
        <v>6924150</v>
      </c>
      <c r="K30" s="8">
        <v>2380000</v>
      </c>
      <c r="L30" s="8">
        <v>0</v>
      </c>
      <c r="M30" s="8">
        <v>1100000</v>
      </c>
      <c r="N30" s="27">
        <f t="shared" si="7"/>
        <v>10404150</v>
      </c>
      <c r="O30" s="27">
        <f t="shared" ref="O30:O31" si="8">SUM(J30:M30)+1400000</f>
        <v>11804150</v>
      </c>
      <c r="P30" s="19"/>
      <c r="Q30" s="18">
        <f>SUM($Q$18:$Q$20)</f>
        <v>1420000</v>
      </c>
      <c r="S30" s="19">
        <f>N30+Q30</f>
        <v>11824150</v>
      </c>
      <c r="T30" s="19">
        <f t="shared" si="5"/>
        <v>13224150</v>
      </c>
    </row>
    <row r="31" spans="5:20">
      <c r="E31" s="18"/>
      <c r="F31" s="18"/>
      <c r="G31" s="22"/>
      <c r="H31" s="7" t="s">
        <v>64</v>
      </c>
      <c r="I31" s="7">
        <v>2.1070000000000002</v>
      </c>
      <c r="J31" s="8">
        <f t="shared" si="6"/>
        <v>7269150.0000000009</v>
      </c>
      <c r="K31" s="8">
        <v>2380000</v>
      </c>
      <c r="L31" s="8">
        <v>0</v>
      </c>
      <c r="M31" s="8">
        <v>1100000</v>
      </c>
      <c r="N31" s="27">
        <f t="shared" si="7"/>
        <v>10749150</v>
      </c>
      <c r="O31" s="27">
        <f t="shared" si="8"/>
        <v>12149150</v>
      </c>
      <c r="P31" s="19"/>
      <c r="Q31" s="18">
        <f>SUM($Q$18:$Q$20)</f>
        <v>1420000</v>
      </c>
      <c r="S31" s="19">
        <f>N31+Q31</f>
        <v>12169150</v>
      </c>
      <c r="T31" s="19">
        <f t="shared" si="5"/>
        <v>13569150</v>
      </c>
    </row>
    <row r="32" spans="5:20">
      <c r="E32" s="18"/>
      <c r="F32" s="18"/>
      <c r="G32" s="18"/>
      <c r="H32" s="35"/>
      <c r="I32" s="35"/>
      <c r="J32" s="36"/>
      <c r="K32" s="36"/>
      <c r="L32" s="36"/>
      <c r="M32" s="36"/>
      <c r="N32" s="37"/>
      <c r="O32" s="37"/>
      <c r="P32" s="34"/>
      <c r="Q32" s="32"/>
      <c r="R32" s="33"/>
      <c r="S32" s="34"/>
      <c r="T32" s="34"/>
    </row>
    <row r="33" spans="5:20" ht="15.75" thickBot="1">
      <c r="E33" s="18"/>
      <c r="F33" s="18"/>
      <c r="G33" s="22" t="s">
        <v>51</v>
      </c>
      <c r="H33" s="38" t="s">
        <v>53</v>
      </c>
      <c r="I33" s="38">
        <v>2.1070000000000002</v>
      </c>
      <c r="J33" s="39">
        <f t="shared" ref="J33:J36" si="9">$K$22*I33</f>
        <v>7269150.0000000009</v>
      </c>
      <c r="K33" s="39">
        <v>2380000</v>
      </c>
      <c r="L33" s="39">
        <v>1400000</v>
      </c>
      <c r="M33" s="39">
        <v>1100000</v>
      </c>
      <c r="N33" s="40">
        <f t="shared" si="7"/>
        <v>12149150</v>
      </c>
      <c r="O33" s="40">
        <f>SUM(J33:M33)</f>
        <v>12149150</v>
      </c>
      <c r="P33" s="19"/>
      <c r="Q33" s="18">
        <f>SUM($Q$18:$Q$20)</f>
        <v>1420000</v>
      </c>
      <c r="S33" s="19">
        <f t="shared" ref="S33:T36" si="10">N33+Q33</f>
        <v>13569150</v>
      </c>
      <c r="T33" s="19">
        <f t="shared" si="5"/>
        <v>13569150</v>
      </c>
    </row>
    <row r="34" spans="5:20">
      <c r="E34" s="18"/>
      <c r="F34" s="18"/>
      <c r="H34" s="41"/>
      <c r="I34" s="42"/>
      <c r="J34" s="43"/>
      <c r="K34" s="43"/>
      <c r="L34" s="43"/>
      <c r="M34" s="43"/>
      <c r="N34" s="44"/>
      <c r="O34" s="45"/>
      <c r="P34" s="46"/>
      <c r="Q34" s="47"/>
      <c r="R34" s="46"/>
      <c r="S34" s="48">
        <f t="shared" si="10"/>
        <v>0</v>
      </c>
      <c r="T34" s="48">
        <f t="shared" si="10"/>
        <v>0</v>
      </c>
    </row>
    <row r="35" spans="5:20">
      <c r="E35" s="18"/>
      <c r="F35" s="18"/>
      <c r="H35" s="49" t="s">
        <v>52</v>
      </c>
      <c r="I35" s="49">
        <v>2.415</v>
      </c>
      <c r="J35" s="50">
        <f t="shared" si="9"/>
        <v>8331750</v>
      </c>
      <c r="K35" s="50">
        <v>1283000</v>
      </c>
      <c r="L35" s="50"/>
      <c r="M35" s="50"/>
      <c r="N35" s="51">
        <f t="shared" si="7"/>
        <v>9614750</v>
      </c>
      <c r="O35" s="51">
        <f>SUM(J35:M35)</f>
        <v>9614750</v>
      </c>
      <c r="Q35" s="18">
        <f t="shared" ref="Q35:Q43" si="11">SUM($Q$18:$Q$20)</f>
        <v>1420000</v>
      </c>
      <c r="S35" s="19">
        <f t="shared" si="10"/>
        <v>11034750</v>
      </c>
      <c r="T35" s="19">
        <f t="shared" si="5"/>
        <v>11034750</v>
      </c>
    </row>
    <row r="36" spans="5:20">
      <c r="E36" s="18"/>
      <c r="F36" s="18"/>
      <c r="H36" s="15" t="s">
        <v>68</v>
      </c>
      <c r="I36" s="15">
        <v>2.536</v>
      </c>
      <c r="J36" s="52">
        <f t="shared" si="9"/>
        <v>8749200</v>
      </c>
      <c r="K36" s="52">
        <v>1338000</v>
      </c>
      <c r="L36" s="52"/>
      <c r="M36" s="52"/>
      <c r="N36" s="53">
        <f t="shared" si="7"/>
        <v>10087200</v>
      </c>
      <c r="O36" s="53">
        <f t="shared" ref="O36:O43" si="12">SUM(J36:M36)</f>
        <v>10087200</v>
      </c>
      <c r="Q36" s="18">
        <f t="shared" si="11"/>
        <v>1420000</v>
      </c>
      <c r="S36" s="19">
        <f t="shared" si="10"/>
        <v>11507200</v>
      </c>
      <c r="T36" s="19">
        <f t="shared" si="5"/>
        <v>11507200</v>
      </c>
    </row>
    <row r="37" spans="5:20">
      <c r="E37" s="18"/>
      <c r="F37" s="18"/>
      <c r="H37" s="23" t="s">
        <v>69</v>
      </c>
      <c r="I37" s="23">
        <v>2.6629999999999998</v>
      </c>
      <c r="J37" s="24">
        <f t="shared" ref="J37:J43" si="13">$K$22*I37</f>
        <v>9187350</v>
      </c>
      <c r="K37" s="24">
        <v>1384000</v>
      </c>
      <c r="L37" s="24"/>
      <c r="M37" s="24"/>
      <c r="N37" s="25">
        <f t="shared" ref="N37:N43" si="14">SUM(J37:M37)</f>
        <v>10571350</v>
      </c>
      <c r="O37" s="25">
        <f t="shared" si="12"/>
        <v>10571350</v>
      </c>
      <c r="Q37" s="18">
        <f t="shared" si="11"/>
        <v>1420000</v>
      </c>
      <c r="S37" s="19">
        <f t="shared" ref="S37:S43" si="15">N37+Q37</f>
        <v>11991350</v>
      </c>
      <c r="T37" s="19">
        <f t="shared" si="5"/>
        <v>11991350</v>
      </c>
    </row>
    <row r="38" spans="5:20">
      <c r="E38" s="18"/>
      <c r="F38" s="18"/>
      <c r="H38" s="7" t="s">
        <v>54</v>
      </c>
      <c r="I38" s="7">
        <v>2.7959999999999998</v>
      </c>
      <c r="J38" s="8">
        <f t="shared" si="13"/>
        <v>9646200</v>
      </c>
      <c r="K38" s="8">
        <v>1421000</v>
      </c>
      <c r="L38" s="8"/>
      <c r="M38" s="8"/>
      <c r="N38" s="27">
        <f t="shared" si="14"/>
        <v>11067200</v>
      </c>
      <c r="O38" s="27">
        <f t="shared" si="12"/>
        <v>11067200</v>
      </c>
      <c r="Q38" s="18">
        <f t="shared" si="11"/>
        <v>1420000</v>
      </c>
      <c r="S38" s="19">
        <f t="shared" si="15"/>
        <v>12487200</v>
      </c>
      <c r="T38" s="19">
        <f t="shared" si="5"/>
        <v>12487200</v>
      </c>
    </row>
    <row r="39" spans="5:20">
      <c r="E39" s="18"/>
      <c r="F39" s="18"/>
      <c r="H39" s="7" t="s">
        <v>55</v>
      </c>
      <c r="I39" s="7">
        <v>2.9359999999999999</v>
      </c>
      <c r="J39" s="8">
        <f t="shared" si="13"/>
        <v>10129200</v>
      </c>
      <c r="K39" s="8">
        <v>1448000</v>
      </c>
      <c r="L39" s="8"/>
      <c r="M39" s="8"/>
      <c r="N39" s="27">
        <f t="shared" si="14"/>
        <v>11577200</v>
      </c>
      <c r="O39" s="27">
        <f t="shared" si="12"/>
        <v>11577200</v>
      </c>
      <c r="Q39" s="18">
        <f t="shared" si="11"/>
        <v>1420000</v>
      </c>
      <c r="S39" s="19">
        <f t="shared" si="15"/>
        <v>12997200</v>
      </c>
      <c r="T39" s="19">
        <f t="shared" si="5"/>
        <v>12997200</v>
      </c>
    </row>
    <row r="40" spans="5:20">
      <c r="E40" s="18"/>
      <c r="F40" s="18"/>
      <c r="H40" s="7" t="s">
        <v>56</v>
      </c>
      <c r="I40" s="7">
        <v>3.0830000000000002</v>
      </c>
      <c r="J40" s="8">
        <f t="shared" si="13"/>
        <v>10636350</v>
      </c>
      <c r="K40" s="8">
        <v>1464000</v>
      </c>
      <c r="L40" s="8"/>
      <c r="M40" s="8"/>
      <c r="N40" s="27">
        <f t="shared" si="14"/>
        <v>12100350</v>
      </c>
      <c r="O40" s="27">
        <f t="shared" si="12"/>
        <v>12100350</v>
      </c>
      <c r="Q40" s="18">
        <f t="shared" si="11"/>
        <v>1420000</v>
      </c>
      <c r="S40" s="19">
        <f t="shared" si="15"/>
        <v>13520350</v>
      </c>
      <c r="T40" s="19">
        <f t="shared" si="5"/>
        <v>13520350</v>
      </c>
    </row>
    <row r="41" spans="5:20">
      <c r="E41" s="18"/>
      <c r="F41" s="18"/>
      <c r="H41" s="7" t="s">
        <v>57</v>
      </c>
      <c r="I41" s="7">
        <v>3.2370000000000001</v>
      </c>
      <c r="J41" s="8">
        <f t="shared" si="13"/>
        <v>11167650</v>
      </c>
      <c r="K41" s="8">
        <v>1470000</v>
      </c>
      <c r="L41" s="8"/>
      <c r="M41" s="8"/>
      <c r="N41" s="27">
        <f t="shared" si="14"/>
        <v>12637650</v>
      </c>
      <c r="O41" s="27">
        <f t="shared" si="12"/>
        <v>12637650</v>
      </c>
      <c r="Q41" s="18">
        <f t="shared" si="11"/>
        <v>1420000</v>
      </c>
      <c r="S41" s="19">
        <f t="shared" si="15"/>
        <v>14057650</v>
      </c>
      <c r="T41" s="19">
        <f t="shared" si="5"/>
        <v>14057650</v>
      </c>
    </row>
    <row r="42" spans="5:20">
      <c r="E42" s="18"/>
      <c r="F42" s="18"/>
      <c r="H42" s="7" t="s">
        <v>58</v>
      </c>
      <c r="I42" s="7">
        <v>3.399</v>
      </c>
      <c r="J42" s="8">
        <f t="shared" si="13"/>
        <v>11726550</v>
      </c>
      <c r="K42" s="8">
        <v>1470000</v>
      </c>
      <c r="L42" s="8"/>
      <c r="M42" s="8"/>
      <c r="N42" s="27">
        <f t="shared" si="14"/>
        <v>13196550</v>
      </c>
      <c r="O42" s="27">
        <f t="shared" si="12"/>
        <v>13196550</v>
      </c>
      <c r="Q42" s="18">
        <f t="shared" si="11"/>
        <v>1420000</v>
      </c>
      <c r="S42" s="19">
        <f t="shared" si="15"/>
        <v>14616550</v>
      </c>
      <c r="T42" s="19">
        <f t="shared" si="5"/>
        <v>14616550</v>
      </c>
    </row>
    <row r="43" spans="5:20">
      <c r="E43" s="18"/>
      <c r="F43" s="18"/>
      <c r="H43" s="7" t="s">
        <v>59</v>
      </c>
      <c r="I43" s="7">
        <v>3.569</v>
      </c>
      <c r="J43" s="8">
        <f t="shared" si="13"/>
        <v>12313050</v>
      </c>
      <c r="K43" s="8">
        <v>1470000</v>
      </c>
      <c r="L43" s="8"/>
      <c r="M43" s="8"/>
      <c r="N43" s="27">
        <f t="shared" si="14"/>
        <v>13783050</v>
      </c>
      <c r="O43" s="27">
        <f t="shared" si="12"/>
        <v>13783050</v>
      </c>
      <c r="Q43" s="18">
        <f t="shared" si="11"/>
        <v>1420000</v>
      </c>
      <c r="S43" s="19">
        <f t="shared" si="15"/>
        <v>15203050</v>
      </c>
      <c r="T43" s="19">
        <f t="shared" si="5"/>
        <v>15203050</v>
      </c>
    </row>
    <row r="44" spans="5:20">
      <c r="E44" s="18"/>
      <c r="F44" s="18"/>
      <c r="J44" s="18"/>
      <c r="K44" s="18"/>
      <c r="L44" s="18"/>
      <c r="M44" s="18"/>
      <c r="N44" s="19"/>
      <c r="Q44" s="18"/>
      <c r="S44" s="19"/>
      <c r="T44" s="19">
        <f t="shared" si="5"/>
        <v>0</v>
      </c>
    </row>
    <row r="45" spans="5:20">
      <c r="E45" s="18"/>
      <c r="F45" s="18"/>
      <c r="J45" s="18"/>
      <c r="K45" s="18"/>
      <c r="L45" s="18"/>
      <c r="M45" s="18"/>
      <c r="N45" s="19"/>
      <c r="Q45" s="18"/>
      <c r="S45" s="19"/>
      <c r="T45" s="19">
        <f t="shared" si="5"/>
        <v>0</v>
      </c>
    </row>
    <row r="46" spans="5:20">
      <c r="E46" s="18"/>
      <c r="F46" s="18"/>
      <c r="H46" s="7"/>
      <c r="I46" s="7"/>
      <c r="J46" s="63" t="s">
        <v>75</v>
      </c>
      <c r="K46" s="63"/>
      <c r="L46" s="54" t="s">
        <v>76</v>
      </c>
      <c r="M46" s="8"/>
      <c r="N46" s="27"/>
      <c r="O46" s="7"/>
      <c r="Q46" s="55" t="s">
        <v>45</v>
      </c>
      <c r="R46" s="56"/>
      <c r="S46" s="57" t="s">
        <v>49</v>
      </c>
      <c r="T46" s="19">
        <f t="shared" si="5"/>
        <v>0</v>
      </c>
    </row>
    <row r="47" spans="5:20">
      <c r="E47" s="18"/>
      <c r="F47" s="18"/>
      <c r="H47" s="7"/>
      <c r="I47" s="7"/>
      <c r="J47" s="58" t="s">
        <v>72</v>
      </c>
      <c r="K47" s="58" t="s">
        <v>73</v>
      </c>
      <c r="L47" s="58" t="s">
        <v>74</v>
      </c>
      <c r="M47" s="8"/>
      <c r="N47" s="27"/>
      <c r="O47" s="7"/>
      <c r="Q47" s="18"/>
      <c r="S47" s="19"/>
      <c r="T47" s="19">
        <f t="shared" si="5"/>
        <v>0</v>
      </c>
    </row>
    <row r="48" spans="5:20">
      <c r="E48" s="18"/>
      <c r="F48" s="18"/>
      <c r="G48" s="2" t="s">
        <v>79</v>
      </c>
      <c r="H48" s="7" t="s">
        <v>71</v>
      </c>
      <c r="I48" s="7"/>
      <c r="J48" s="8">
        <v>8749200</v>
      </c>
      <c r="K48" s="8">
        <v>1188300</v>
      </c>
      <c r="L48" s="8">
        <v>3070000</v>
      </c>
      <c r="M48" s="8"/>
      <c r="N48" s="27"/>
      <c r="O48" s="7"/>
      <c r="Q48" s="18">
        <v>450000</v>
      </c>
      <c r="S48" s="19">
        <f>SUM(J48:L48)+Q48</f>
        <v>13457500</v>
      </c>
      <c r="T48" s="19"/>
    </row>
    <row r="49" spans="5:19">
      <c r="E49" s="18"/>
      <c r="F49" s="18"/>
      <c r="J49" s="18"/>
      <c r="K49" s="18">
        <f>K48+L48</f>
        <v>4258300</v>
      </c>
      <c r="L49" s="18"/>
      <c r="M49" s="18"/>
      <c r="N49" s="19"/>
      <c r="Q49" s="18"/>
      <c r="S49" s="19"/>
    </row>
  </sheetData>
  <mergeCells count="4">
    <mergeCell ref="A1:M1"/>
    <mergeCell ref="E2:G2"/>
    <mergeCell ref="K2:M2"/>
    <mergeCell ref="J46:K46"/>
  </mergeCells>
  <phoneticPr fontId="1" type="noConversion"/>
  <pageMargins left="0.25" right="0.25" top="0.75" bottom="0.75" header="0.3" footer="0.3"/>
  <pageSetup paperSize="9" scale="7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ANDREW_2024</vt:lpstr>
      <vt:lpstr>ANDREW_2025</vt:lpstr>
      <vt:lpstr>Others</vt:lpstr>
      <vt:lpstr>DieuChinhPhuLuc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 Anh Ly</dc:creator>
  <cp:lastModifiedBy>Tuong Anh Ly</cp:lastModifiedBy>
  <cp:lastPrinted>2024-04-24T06:55:57Z</cp:lastPrinted>
  <dcterms:created xsi:type="dcterms:W3CDTF">2024-01-03T03:42:35Z</dcterms:created>
  <dcterms:modified xsi:type="dcterms:W3CDTF">2025-05-22T05:54:05Z</dcterms:modified>
</cp:coreProperties>
</file>