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RM\10_LYG_App\"/>
    </mc:Choice>
  </mc:AlternateContent>
  <xr:revisionPtr revIDLastSave="0" documentId="13_ncr:1_{50DA40AA-C65A-4C37-B78D-557C31738DEC}" xr6:coauthVersionLast="47" xr6:coauthVersionMax="47" xr10:uidLastSave="{00000000-0000-0000-0000-000000000000}"/>
  <bookViews>
    <workbookView xWindow="-120" yWindow="-120" windowWidth="29040" windowHeight="15840" activeTab="1" xr2:uid="{2A736A27-9AE1-42BE-B254-573FA088B240}"/>
  </bookViews>
  <sheets>
    <sheet name="MauNhapDB" sheetId="1" r:id="rId1"/>
    <sheet name="DoiChieu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5" i="2"/>
  <c r="F26" i="2"/>
  <c r="F27" i="2"/>
  <c r="F29" i="2"/>
  <c r="F31" i="2"/>
  <c r="F32" i="2"/>
  <c r="F37" i="2"/>
  <c r="F38" i="2"/>
  <c r="F2" i="2"/>
</calcChain>
</file>

<file path=xl/sharedStrings.xml><?xml version="1.0" encoding="utf-8"?>
<sst xmlns="http://schemas.openxmlformats.org/spreadsheetml/2006/main" count="202" uniqueCount="101">
  <si>
    <t>Person_ID</t>
  </si>
  <si>
    <t>Month_Year</t>
  </si>
  <si>
    <t>Person_Name</t>
  </si>
  <si>
    <t>Department_ID</t>
  </si>
  <si>
    <t>Tax_Code</t>
  </si>
  <si>
    <t>Bank_Number</t>
  </si>
  <si>
    <t>Main_Salary</t>
  </si>
  <si>
    <t>PC_CVIEC</t>
  </si>
  <si>
    <t>PC_UDAI</t>
  </si>
  <si>
    <t>LUONG_PCAP</t>
  </si>
  <si>
    <t>CONGTHUCTE</t>
  </si>
  <si>
    <t>LUONGTHANG</t>
  </si>
  <si>
    <t>CHUYENCAN</t>
  </si>
  <si>
    <t>PC_MOITRUONG</t>
  </si>
  <si>
    <t>TIENLUONG1GIO</t>
  </si>
  <si>
    <t>HS_1</t>
  </si>
  <si>
    <t>HS_15</t>
  </si>
  <si>
    <t>HS_2</t>
  </si>
  <si>
    <t>HS_245</t>
  </si>
  <si>
    <t>HS_3</t>
  </si>
  <si>
    <t>TIENLAMTHEM</t>
  </si>
  <si>
    <t>GIOLAMDEM</t>
  </si>
  <si>
    <t>PC_CADEM</t>
  </si>
  <si>
    <t>TIENLAMTHEM_TINHTHUE</t>
  </si>
  <si>
    <t>KHAC</t>
  </si>
  <si>
    <t>P1_P0</t>
  </si>
  <si>
    <t>PD</t>
  </si>
  <si>
    <t>Pt</t>
  </si>
  <si>
    <t>GIO_R_LE_P_KHAC</t>
  </si>
  <si>
    <t>GIO_R1</t>
  </si>
  <si>
    <t>PHEPNAM</t>
  </si>
  <si>
    <t>TIENNGHI_R_LE_P_KHAC</t>
  </si>
  <si>
    <t>TIEN_CLGD</t>
  </si>
  <si>
    <t>TIEN_NUOICONNHO</t>
  </si>
  <si>
    <t>SOPHANCOM</t>
  </si>
  <si>
    <t>TIENBB</t>
  </si>
  <si>
    <t>GIOHK</t>
  </si>
  <si>
    <t>TIENHK</t>
  </si>
  <si>
    <t>TIEN_VUOTSANLUONG</t>
  </si>
  <si>
    <t>CONGLUONG</t>
  </si>
  <si>
    <t>CONGLUONGTINHTHUE</t>
  </si>
  <si>
    <t>THUE_TNCN</t>
  </si>
  <si>
    <t>TIENBH_YT_XH_TN</t>
  </si>
  <si>
    <t>TRUTIENCONGDOAN</t>
  </si>
  <si>
    <t>CONLANHCUOIKY</t>
  </si>
  <si>
    <t>User_ID</t>
  </si>
  <si>
    <t>Create_ID</t>
  </si>
  <si>
    <t>HỒ THỊ KIM ĐẸP</t>
  </si>
  <si>
    <t>03-2022</t>
  </si>
  <si>
    <t>ThucLanh</t>
  </si>
  <si>
    <t>HS_4</t>
  </si>
  <si>
    <t>HS_51</t>
  </si>
  <si>
    <t>TienCom</t>
  </si>
  <si>
    <t>TraBH_P</t>
  </si>
  <si>
    <t>09-2022</t>
  </si>
  <si>
    <t>TRỊNH VĂN ĐẠI</t>
  </si>
  <si>
    <t>BV</t>
  </si>
  <si>
    <t>KT</t>
  </si>
  <si>
    <t>Khoảng Cộng</t>
    <phoneticPr fontId="1" type="noConversion"/>
  </si>
  <si>
    <t>Lương chính</t>
    <phoneticPr fontId="1" type="noConversion"/>
  </si>
  <si>
    <t>PC Ca đêm</t>
    <phoneticPr fontId="1" type="noConversion"/>
  </si>
  <si>
    <t>Công HS1</t>
    <phoneticPr fontId="1" type="noConversion"/>
  </si>
  <si>
    <t>Công HS1.5</t>
    <phoneticPr fontId="1" type="noConversion"/>
  </si>
  <si>
    <t>Công HS2</t>
    <phoneticPr fontId="1" type="noConversion"/>
  </si>
  <si>
    <t>Công HS2.45</t>
    <phoneticPr fontId="1" type="noConversion"/>
  </si>
  <si>
    <t>Công HS4</t>
    <phoneticPr fontId="1" type="noConversion"/>
  </si>
  <si>
    <t>Công HS5.1</t>
    <phoneticPr fontId="1" type="noConversion"/>
  </si>
  <si>
    <t>TraBH_</t>
  </si>
  <si>
    <t>Tháng</t>
    <phoneticPr fontId="1" type="noConversion"/>
  </si>
  <si>
    <t>Các Trường Gốc</t>
    <phoneticPr fontId="1" type="noConversion"/>
  </si>
  <si>
    <t>Các trường trên phần mềm</t>
    <phoneticPr fontId="1" type="noConversion"/>
  </si>
  <si>
    <t>Các Trường DB Cần Dùng</t>
    <phoneticPr fontId="1" type="noConversion"/>
  </si>
  <si>
    <t>Tổng Lương</t>
    <phoneticPr fontId="1" type="noConversion"/>
  </si>
  <si>
    <t>Tăng ca lũy kế</t>
    <phoneticPr fontId="1" type="noConversion"/>
  </si>
  <si>
    <t>Giờ phép năm</t>
    <phoneticPr fontId="1" type="noConversion"/>
  </si>
  <si>
    <t>Lương tháng</t>
    <phoneticPr fontId="1" type="noConversion"/>
  </si>
  <si>
    <t>Phụ cấp công việc</t>
    <phoneticPr fontId="1" type="noConversion"/>
  </si>
  <si>
    <t>Phụ cấp ưu đãi</t>
    <phoneticPr fontId="1" type="noConversion"/>
  </si>
  <si>
    <t>Trực nhật</t>
    <phoneticPr fontId="1" type="noConversion"/>
  </si>
  <si>
    <t>Nghĩ R,Lễ,P,Khác</t>
    <phoneticPr fontId="1" type="noConversion"/>
  </si>
  <si>
    <t>Tiền bình bầu</t>
    <phoneticPr fontId="1" type="noConversion"/>
  </si>
  <si>
    <t>Tiền chuyên cần</t>
    <phoneticPr fontId="1" type="noConversion"/>
  </si>
  <si>
    <t>Tiền làm thêm</t>
    <phoneticPr fontId="1" type="noConversion"/>
  </si>
  <si>
    <t>CLGĐ + H.trợ khác</t>
    <phoneticPr fontId="1" type="noConversion"/>
  </si>
  <si>
    <t>Tiền HK</t>
    <phoneticPr fontId="1" type="noConversion"/>
  </si>
  <si>
    <t>Tiền nuôi con nhỏ</t>
    <phoneticPr fontId="1" type="noConversion"/>
  </si>
  <si>
    <t>Tiền Cơm</t>
    <phoneticPr fontId="1" type="noConversion"/>
  </si>
  <si>
    <t>Tiền 24.5 (BH+P</t>
    <phoneticPr fontId="1" type="noConversion"/>
  </si>
  <si>
    <t>Cộng lương</t>
    <phoneticPr fontId="1" type="noConversion"/>
  </si>
  <si>
    <t>Còn lãnh cuối kỳ</t>
    <phoneticPr fontId="1" type="noConversion"/>
  </si>
  <si>
    <t>Khoảng trừ</t>
    <phoneticPr fontId="1" type="noConversion"/>
  </si>
  <si>
    <t>Tổng tiền BHYT_TN_XH</t>
    <phoneticPr fontId="1" type="noConversion"/>
  </si>
  <si>
    <t>Đoàn phí</t>
    <phoneticPr fontId="1" type="noConversion"/>
  </si>
  <si>
    <t>Thuế TNCN</t>
    <phoneticPr fontId="1" type="noConversion"/>
  </si>
  <si>
    <t>Chi tiết giờ</t>
    <phoneticPr fontId="1" type="noConversion"/>
  </si>
  <si>
    <t>Giờ R,Lễ,P,Khác</t>
    <phoneticPr fontId="1" type="noConversion"/>
  </si>
  <si>
    <t>Tiền lương 1 giờ</t>
    <phoneticPr fontId="1" type="noConversion"/>
  </si>
  <si>
    <t>Nghỉ R1</t>
    <phoneticPr fontId="1" type="noConversion"/>
  </si>
  <si>
    <t>Giờ HK</t>
    <phoneticPr fontId="1" type="noConversion"/>
  </si>
  <si>
    <t>GIOLAMDEM</t>
    <phoneticPr fontId="1" type="noConversion"/>
  </si>
  <si>
    <t>ThucLanh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</si>
</sst>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:mm:ss"/>
    <numFmt numFmtId="177" formatCode="0_ "/>
  </numFmts>
  <fonts count="8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4"/>
      <color rgb="FF0070C0"/>
      <name val="Times New Roman"/>
      <family val="1"/>
    </font>
    <font>
      <sz val="11"/>
      <color theme="5" tint="-0.249977111117893"/>
      <name val="Times New Roman"/>
      <family val="1"/>
    </font>
    <font>
      <b/>
      <sz val="11"/>
      <color theme="5" tint="-0.24997711111789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1" xfId="0" applyFont="1" applyBorder="1">
      <alignment vertical="center"/>
    </xf>
    <xf numFmtId="49" fontId="2" fillId="0" borderId="1" xfId="0" applyNumberFormat="1" applyFont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49" fontId="3" fillId="0" borderId="1" xfId="0" applyNumberFormat="1" applyFont="1" applyBorder="1">
      <alignment vertical="center"/>
    </xf>
    <xf numFmtId="49" fontId="3" fillId="0" borderId="0" xfId="0" applyNumberFormat="1" applyFont="1">
      <alignment vertical="center"/>
    </xf>
    <xf numFmtId="176" fontId="2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6" fontId="3" fillId="0" borderId="0" xfId="0" applyNumberFormat="1" applyFont="1">
      <alignment vertical="center"/>
    </xf>
    <xf numFmtId="177" fontId="2" fillId="0" borderId="1" xfId="0" applyNumberFormat="1" applyFont="1" applyBorder="1">
      <alignment vertical="center"/>
    </xf>
    <xf numFmtId="177" fontId="3" fillId="0" borderId="1" xfId="0" applyNumberFormat="1" applyFont="1" applyBorder="1">
      <alignment vertical="center"/>
    </xf>
    <xf numFmtId="177" fontId="3" fillId="0" borderId="0" xfId="0" applyNumberFormat="1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0" borderId="2" xfId="0" applyFont="1" applyBorder="1">
      <alignment vertical="center"/>
    </xf>
    <xf numFmtId="0" fontId="3" fillId="2" borderId="2" xfId="0" applyFont="1" applyFill="1" applyBorder="1">
      <alignment vertical="center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54D99-8A7C-4D8E-8C28-82157C7439F1}">
  <dimension ref="A1:AZ20"/>
  <sheetViews>
    <sheetView zoomScaleNormal="100" workbookViewId="0">
      <selection activeCell="AY3" sqref="AY3"/>
    </sheetView>
  </sheetViews>
  <sheetFormatPr defaultRowHeight="15"/>
  <cols>
    <col min="1" max="1" width="10.375" style="3" bestFit="1" customWidth="1"/>
    <col min="2" max="2" width="12.125" style="6" bestFit="1" customWidth="1"/>
    <col min="3" max="3" width="16.75" style="3" bestFit="1" customWidth="1"/>
    <col min="4" max="4" width="14.875" style="3" bestFit="1" customWidth="1"/>
    <col min="5" max="5" width="10.625" style="3" bestFit="1" customWidth="1"/>
    <col min="6" max="6" width="19.125" style="12" bestFit="1" customWidth="1"/>
    <col min="7" max="7" width="11.75" style="3" bestFit="1" customWidth="1"/>
    <col min="8" max="8" width="22.375" style="3" bestFit="1" customWidth="1"/>
    <col min="9" max="9" width="9.875" style="3" bestFit="1" customWidth="1"/>
    <col min="10" max="10" width="14.875" style="3" bestFit="1" customWidth="1"/>
    <col min="11" max="11" width="15.625" style="3" bestFit="1" customWidth="1"/>
    <col min="12" max="12" width="16.5" style="3" bestFit="1" customWidth="1"/>
    <col min="13" max="13" width="20.375" style="3" bestFit="1" customWidth="1"/>
    <col min="14" max="14" width="18.125" style="3" bestFit="1" customWidth="1"/>
    <col min="15" max="15" width="20.25" style="3" bestFit="1" customWidth="1"/>
    <col min="16" max="16" width="6" style="3" bestFit="1" customWidth="1"/>
    <col min="17" max="17" width="12.875" style="3" bestFit="1" customWidth="1"/>
    <col min="18" max="18" width="6" style="3" bestFit="1" customWidth="1"/>
    <col min="19" max="19" width="8" style="3" bestFit="1" customWidth="1"/>
    <col min="20" max="20" width="6" style="3" bestFit="1" customWidth="1"/>
    <col min="21" max="21" width="18.375" style="3" bestFit="1" customWidth="1"/>
    <col min="22" max="22" width="14.625" style="3" bestFit="1" customWidth="1"/>
    <col min="23" max="23" width="12.5" style="3" bestFit="1" customWidth="1"/>
    <col min="24" max="24" width="29.625" style="3" bestFit="1" customWidth="1"/>
    <col min="25" max="25" width="7.25" style="3" bestFit="1" customWidth="1"/>
    <col min="26" max="26" width="6.75" style="3" bestFit="1" customWidth="1"/>
    <col min="27" max="28" width="5.125" style="3" bestFit="1" customWidth="1"/>
    <col min="29" max="29" width="21" style="3" bestFit="1" customWidth="1"/>
    <col min="30" max="30" width="8.5" style="3" bestFit="1" customWidth="1"/>
    <col min="31" max="31" width="11.25" style="3" bestFit="1" customWidth="1"/>
    <col min="32" max="32" width="27.625" style="3" bestFit="1" customWidth="1"/>
    <col min="33" max="33" width="21.5" style="3" bestFit="1" customWidth="1"/>
    <col min="34" max="34" width="21.875" style="3" bestFit="1" customWidth="1"/>
    <col min="35" max="35" width="14.625" style="3" bestFit="1" customWidth="1"/>
    <col min="36" max="36" width="16.875" style="3" bestFit="1" customWidth="1"/>
    <col min="37" max="37" width="8.625" style="3" bestFit="1" customWidth="1"/>
    <col min="38" max="38" width="9.625" style="3" bestFit="1" customWidth="1"/>
    <col min="39" max="39" width="24.5" style="3" bestFit="1" customWidth="1"/>
    <col min="40" max="40" width="15.125" style="3" bestFit="1" customWidth="1"/>
    <col min="41" max="41" width="25.75" style="3" bestFit="1" customWidth="1"/>
    <col min="42" max="42" width="13.625" style="3" bestFit="1" customWidth="1"/>
    <col min="43" max="43" width="26" style="3" bestFit="1" customWidth="1"/>
    <col min="44" max="44" width="22.625" style="3" bestFit="1" customWidth="1"/>
    <col min="45" max="45" width="21.625" style="3" bestFit="1" customWidth="1"/>
    <col min="46" max="46" width="8.625" style="3" bestFit="1" customWidth="1"/>
    <col min="47" max="47" width="15.75" style="9" customWidth="1"/>
    <col min="48" max="16384" width="9" style="3"/>
  </cols>
  <sheetData>
    <row r="1" spans="1:5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7" t="s">
        <v>46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</row>
    <row r="2" spans="1:52">
      <c r="A2" s="4">
        <v>310912</v>
      </c>
      <c r="B2" s="5" t="s">
        <v>54</v>
      </c>
      <c r="C2" s="4" t="s">
        <v>55</v>
      </c>
      <c r="D2" s="4" t="s">
        <v>56</v>
      </c>
      <c r="E2" s="4">
        <v>8116327545</v>
      </c>
      <c r="F2" s="11">
        <v>69310000090400</v>
      </c>
      <c r="G2" s="4">
        <v>5934500</v>
      </c>
      <c r="H2" s="4">
        <v>60000</v>
      </c>
      <c r="I2" s="4">
        <v>0</v>
      </c>
      <c r="J2" s="4">
        <v>5994500</v>
      </c>
      <c r="K2" s="4">
        <v>176</v>
      </c>
      <c r="L2" s="4">
        <v>5072269</v>
      </c>
      <c r="M2" s="4">
        <v>260000</v>
      </c>
      <c r="N2" s="4">
        <v>33000</v>
      </c>
      <c r="O2" s="4">
        <v>30773</v>
      </c>
      <c r="P2" s="4"/>
      <c r="Q2" s="4">
        <v>1.5</v>
      </c>
      <c r="R2" s="4">
        <v>2</v>
      </c>
      <c r="S2" s="4">
        <v>8</v>
      </c>
      <c r="T2" s="4">
        <v>3</v>
      </c>
      <c r="U2" s="4">
        <v>984736</v>
      </c>
      <c r="V2" s="4">
        <v>48</v>
      </c>
      <c r="W2" s="4">
        <v>738552</v>
      </c>
      <c r="X2" s="4"/>
      <c r="Y2" s="4"/>
      <c r="Z2" s="4"/>
      <c r="AA2" s="4"/>
      <c r="AB2" s="4"/>
      <c r="AC2" s="4">
        <v>16</v>
      </c>
      <c r="AD2" s="4"/>
      <c r="AE2" s="4"/>
      <c r="AF2" s="4">
        <v>691673</v>
      </c>
      <c r="AG2" s="4">
        <v>600000</v>
      </c>
      <c r="AH2" s="4"/>
      <c r="AI2" s="4">
        <v>23</v>
      </c>
      <c r="AJ2" s="4">
        <v>60000</v>
      </c>
      <c r="AK2" s="4"/>
      <c r="AL2" s="4"/>
      <c r="AM2" s="4"/>
      <c r="AN2" s="4">
        <v>8900230</v>
      </c>
      <c r="AO2" s="4">
        <v>6716942</v>
      </c>
      <c r="AP2" s="4"/>
      <c r="AQ2" s="4">
        <v>629423</v>
      </c>
      <c r="AR2" s="4">
        <v>32500</v>
      </c>
      <c r="AS2" s="4">
        <v>8238307</v>
      </c>
      <c r="AT2" s="4">
        <v>310912</v>
      </c>
      <c r="AU2" s="8"/>
      <c r="AV2" s="4">
        <v>8238500</v>
      </c>
      <c r="AW2" s="4">
        <v>8</v>
      </c>
      <c r="AX2" s="4">
        <v>0</v>
      </c>
      <c r="AY2" s="4">
        <v>460000</v>
      </c>
      <c r="AZ2" s="4">
        <v>0</v>
      </c>
    </row>
    <row r="3" spans="1:52">
      <c r="A3" s="4">
        <v>314229</v>
      </c>
      <c r="B3" s="5" t="s">
        <v>48</v>
      </c>
      <c r="C3" s="4" t="s">
        <v>47</v>
      </c>
      <c r="D3" s="4" t="s">
        <v>57</v>
      </c>
      <c r="E3" s="4">
        <v>8434731399</v>
      </c>
      <c r="F3" s="11">
        <v>69310000128569</v>
      </c>
      <c r="G3" s="4">
        <v>5320310</v>
      </c>
      <c r="H3" s="4">
        <v>835000</v>
      </c>
      <c r="I3" s="4"/>
      <c r="J3" s="4">
        <v>6155310</v>
      </c>
      <c r="K3" s="4">
        <v>216</v>
      </c>
      <c r="L3" s="4">
        <v>6392053</v>
      </c>
      <c r="M3" s="4">
        <v>260000</v>
      </c>
      <c r="N3" s="4"/>
      <c r="O3" s="4">
        <v>33423</v>
      </c>
      <c r="P3" s="4"/>
      <c r="Q3" s="4">
        <v>39</v>
      </c>
      <c r="R3" s="4"/>
      <c r="S3" s="4"/>
      <c r="T3" s="4"/>
      <c r="U3" s="4">
        <v>1930178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>
        <v>600000</v>
      </c>
      <c r="AH3" s="4"/>
      <c r="AI3" s="4">
        <v>38</v>
      </c>
      <c r="AJ3" s="4">
        <v>300000</v>
      </c>
      <c r="AK3" s="4">
        <v>1.5</v>
      </c>
      <c r="AL3" s="4">
        <v>50135</v>
      </c>
      <c r="AM3" s="4"/>
      <c r="AN3" s="4">
        <v>10292366</v>
      </c>
      <c r="AO3" s="4">
        <v>8888974</v>
      </c>
      <c r="AP3" s="4"/>
      <c r="AQ3" s="4">
        <v>646308</v>
      </c>
      <c r="AR3" s="4">
        <v>30700</v>
      </c>
      <c r="AS3" s="4">
        <v>9615358</v>
      </c>
      <c r="AT3" s="4">
        <v>314229</v>
      </c>
      <c r="AU3" s="8"/>
      <c r="AV3" s="4">
        <v>9615500</v>
      </c>
      <c r="AW3" s="4">
        <v>0</v>
      </c>
      <c r="AX3" s="4">
        <v>0</v>
      </c>
      <c r="AY3" s="4">
        <v>760000</v>
      </c>
      <c r="AZ3" s="4">
        <v>0</v>
      </c>
    </row>
    <row r="4" spans="1:52">
      <c r="A4" s="4"/>
      <c r="B4" s="5"/>
      <c r="C4" s="4"/>
      <c r="D4" s="4"/>
      <c r="E4" s="4"/>
      <c r="F4" s="11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8"/>
      <c r="AV4" s="4"/>
      <c r="AW4" s="4"/>
      <c r="AX4" s="4"/>
      <c r="AY4" s="4"/>
      <c r="AZ4" s="4"/>
    </row>
    <row r="5" spans="1:52">
      <c r="A5" s="4"/>
      <c r="B5" s="5"/>
      <c r="C5" s="4"/>
      <c r="D5" s="4"/>
      <c r="E5" s="4"/>
      <c r="F5" s="11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8"/>
      <c r="AV5" s="4"/>
      <c r="AW5" s="4"/>
      <c r="AX5" s="4"/>
      <c r="AY5" s="4"/>
      <c r="AZ5" s="4"/>
    </row>
    <row r="6" spans="1:52">
      <c r="A6" s="4"/>
      <c r="B6" s="5"/>
      <c r="C6" s="4"/>
      <c r="D6" s="4"/>
      <c r="E6" s="4"/>
      <c r="F6" s="11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8"/>
      <c r="AV6" s="4"/>
      <c r="AW6" s="4"/>
      <c r="AX6" s="4"/>
      <c r="AY6" s="4"/>
      <c r="AZ6" s="4"/>
    </row>
    <row r="7" spans="1:52">
      <c r="A7" s="4"/>
      <c r="B7" s="5"/>
      <c r="C7" s="4"/>
      <c r="D7" s="4"/>
      <c r="E7" s="4"/>
      <c r="F7" s="1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8"/>
      <c r="AV7" s="4"/>
      <c r="AW7" s="4"/>
      <c r="AX7" s="4"/>
      <c r="AY7" s="4"/>
      <c r="AZ7" s="4"/>
    </row>
    <row r="8" spans="1:52">
      <c r="A8" s="4"/>
      <c r="B8" s="5"/>
      <c r="C8" s="4"/>
      <c r="D8" s="4"/>
      <c r="E8" s="4"/>
      <c r="F8" s="1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8"/>
      <c r="AV8" s="4"/>
      <c r="AW8" s="4"/>
      <c r="AX8" s="4"/>
      <c r="AY8" s="4"/>
      <c r="AZ8" s="4"/>
    </row>
    <row r="9" spans="1:52">
      <c r="A9" s="4"/>
      <c r="B9" s="5"/>
      <c r="C9" s="4"/>
      <c r="D9" s="4"/>
      <c r="E9" s="4"/>
      <c r="F9" s="1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8"/>
      <c r="AV9" s="4"/>
      <c r="AW9" s="4"/>
      <c r="AX9" s="4"/>
      <c r="AY9" s="4"/>
      <c r="AZ9" s="4"/>
    </row>
    <row r="10" spans="1:52">
      <c r="A10" s="4"/>
      <c r="B10" s="5"/>
      <c r="C10" s="4"/>
      <c r="D10" s="4"/>
      <c r="E10" s="4"/>
      <c r="F10" s="11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8"/>
      <c r="AV10" s="4"/>
      <c r="AW10" s="4"/>
      <c r="AX10" s="4"/>
      <c r="AY10" s="4"/>
      <c r="AZ10" s="4"/>
    </row>
    <row r="11" spans="1:52">
      <c r="A11" s="4"/>
      <c r="B11" s="5"/>
      <c r="C11" s="4"/>
      <c r="D11" s="4"/>
      <c r="E11" s="4"/>
      <c r="F11" s="1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8"/>
      <c r="AV11" s="4"/>
      <c r="AW11" s="4"/>
      <c r="AX11" s="4"/>
      <c r="AY11" s="4"/>
      <c r="AZ11" s="4"/>
    </row>
    <row r="12" spans="1:52">
      <c r="A12" s="4"/>
      <c r="B12" s="5"/>
      <c r="C12" s="4"/>
      <c r="D12" s="4"/>
      <c r="E12" s="4"/>
      <c r="F12" s="1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8"/>
      <c r="AV12" s="4"/>
      <c r="AW12" s="4"/>
      <c r="AX12" s="4"/>
      <c r="AY12" s="4"/>
      <c r="AZ12" s="4"/>
    </row>
    <row r="13" spans="1:52">
      <c r="A13" s="4"/>
      <c r="B13" s="5"/>
      <c r="C13" s="4"/>
      <c r="D13" s="4"/>
      <c r="E13" s="4"/>
      <c r="F13" s="1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8"/>
      <c r="AV13" s="4"/>
      <c r="AW13" s="4"/>
      <c r="AX13" s="4"/>
      <c r="AY13" s="4"/>
      <c r="AZ13" s="4"/>
    </row>
    <row r="14" spans="1:52">
      <c r="A14" s="4"/>
      <c r="B14" s="5"/>
      <c r="C14" s="4"/>
      <c r="D14" s="4"/>
      <c r="E14" s="4"/>
      <c r="F14" s="11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8"/>
      <c r="AV14" s="4"/>
      <c r="AW14" s="4"/>
      <c r="AX14" s="4"/>
      <c r="AY14" s="4"/>
      <c r="AZ14" s="4"/>
    </row>
    <row r="15" spans="1:52">
      <c r="A15" s="4"/>
      <c r="B15" s="5"/>
      <c r="C15" s="4"/>
      <c r="D15" s="4"/>
      <c r="E15" s="4"/>
      <c r="F15" s="11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8"/>
      <c r="AV15" s="4"/>
      <c r="AW15" s="4"/>
      <c r="AX15" s="4"/>
      <c r="AY15" s="4"/>
      <c r="AZ15" s="4"/>
    </row>
    <row r="16" spans="1:52">
      <c r="A16" s="4"/>
      <c r="B16" s="5"/>
      <c r="C16" s="4"/>
      <c r="D16" s="4"/>
      <c r="E16" s="4"/>
      <c r="F16" s="11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8"/>
      <c r="AV16" s="4"/>
      <c r="AW16" s="4"/>
      <c r="AX16" s="4"/>
      <c r="AY16" s="4"/>
      <c r="AZ16" s="4"/>
    </row>
    <row r="17" spans="1:52">
      <c r="A17" s="4"/>
      <c r="B17" s="5"/>
      <c r="C17" s="4"/>
      <c r="D17" s="4"/>
      <c r="E17" s="4"/>
      <c r="F17" s="11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8"/>
      <c r="AV17" s="4"/>
      <c r="AW17" s="4"/>
      <c r="AX17" s="4"/>
      <c r="AY17" s="4"/>
      <c r="AZ17" s="4"/>
    </row>
    <row r="18" spans="1:52">
      <c r="A18" s="4"/>
      <c r="B18" s="5"/>
      <c r="C18" s="4"/>
      <c r="D18" s="4"/>
      <c r="E18" s="4"/>
      <c r="F18" s="1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8"/>
      <c r="AV18" s="4"/>
      <c r="AW18" s="4"/>
      <c r="AX18" s="4"/>
      <c r="AY18" s="4"/>
      <c r="AZ18" s="4"/>
    </row>
    <row r="19" spans="1:52">
      <c r="A19" s="4"/>
      <c r="B19" s="5"/>
      <c r="C19" s="4"/>
      <c r="D19" s="4"/>
      <c r="E19" s="4"/>
      <c r="F19" s="11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8"/>
      <c r="AV19" s="4"/>
      <c r="AW19" s="4"/>
      <c r="AX19" s="4"/>
      <c r="AY19" s="4"/>
      <c r="AZ19" s="4"/>
    </row>
    <row r="20" spans="1:52">
      <c r="A20" s="4"/>
      <c r="B20" s="5"/>
      <c r="C20" s="4"/>
      <c r="D20" s="4"/>
      <c r="E20" s="4"/>
      <c r="F20" s="11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8"/>
      <c r="AV20" s="4"/>
      <c r="AW20" s="4"/>
      <c r="AX20" s="4"/>
      <c r="AY20" s="4"/>
      <c r="AZ20" s="4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9693D-64E3-466F-82BD-5C101C315CEC}">
  <dimension ref="A1:G53"/>
  <sheetViews>
    <sheetView tabSelected="1" workbookViewId="0">
      <selection activeCell="G10" sqref="G10"/>
    </sheetView>
  </sheetViews>
  <sheetFormatPr defaultRowHeight="15"/>
  <cols>
    <col min="1" max="1" width="32.125" style="19" bestFit="1" customWidth="1"/>
    <col min="2" max="2" width="32.125" style="19" customWidth="1"/>
    <col min="3" max="3" width="11.75" style="19" bestFit="1" customWidth="1"/>
    <col min="4" max="4" width="24.5" style="19" bestFit="1" customWidth="1"/>
    <col min="5" max="5" width="31.75" style="3" bestFit="1" customWidth="1"/>
    <col min="6" max="6" width="9" style="3"/>
    <col min="7" max="7" width="27.375" style="3" bestFit="1" customWidth="1"/>
    <col min="8" max="16384" width="9" style="3"/>
  </cols>
  <sheetData>
    <row r="1" spans="1:7" ht="18.75">
      <c r="A1" s="22" t="s">
        <v>69</v>
      </c>
      <c r="B1" s="23"/>
      <c r="C1" s="21" t="s">
        <v>70</v>
      </c>
      <c r="D1" s="21"/>
      <c r="E1" s="24" t="s">
        <v>71</v>
      </c>
      <c r="F1" s="13"/>
    </row>
    <row r="2" spans="1:7">
      <c r="A2" s="25" t="s">
        <v>0</v>
      </c>
      <c r="B2" s="20">
        <v>0</v>
      </c>
      <c r="C2" s="4"/>
      <c r="D2" s="4" t="s">
        <v>68</v>
      </c>
      <c r="E2" s="26" t="s">
        <v>1</v>
      </c>
      <c r="F2" s="13">
        <f>VLOOKUP(E2,A2:B53,2,FALSE)</f>
        <v>1</v>
      </c>
      <c r="G2" s="25" t="s">
        <v>0</v>
      </c>
    </row>
    <row r="3" spans="1:7">
      <c r="A3" s="26" t="s">
        <v>1</v>
      </c>
      <c r="B3" s="20">
        <v>1</v>
      </c>
      <c r="C3" s="4"/>
      <c r="D3" s="4" t="s">
        <v>72</v>
      </c>
      <c r="E3" s="14" t="s">
        <v>100</v>
      </c>
      <c r="F3" s="13">
        <f t="shared" ref="F3:F38" si="0">VLOOKUP(E3,A3:B54,2,FALSE)</f>
        <v>47</v>
      </c>
    </row>
    <row r="4" spans="1:7">
      <c r="A4" s="14" t="s">
        <v>2</v>
      </c>
      <c r="B4" s="20">
        <v>2</v>
      </c>
      <c r="C4" s="4"/>
      <c r="D4" s="4" t="s">
        <v>73</v>
      </c>
      <c r="E4" s="17"/>
      <c r="F4" s="13"/>
      <c r="G4" s="14" t="s">
        <v>2</v>
      </c>
    </row>
    <row r="5" spans="1:7">
      <c r="A5" s="14" t="s">
        <v>3</v>
      </c>
      <c r="B5" s="20">
        <v>3</v>
      </c>
      <c r="C5" s="4"/>
      <c r="D5" s="4" t="s">
        <v>74</v>
      </c>
      <c r="E5" s="17"/>
      <c r="F5" s="13"/>
      <c r="G5" s="14" t="s">
        <v>3</v>
      </c>
    </row>
    <row r="6" spans="1:7">
      <c r="A6" s="14" t="s">
        <v>4</v>
      </c>
      <c r="B6" s="20">
        <v>4</v>
      </c>
      <c r="C6" s="15" t="s">
        <v>58</v>
      </c>
      <c r="D6" s="16"/>
      <c r="E6" s="18"/>
      <c r="F6" s="13"/>
      <c r="G6" s="14" t="s">
        <v>4</v>
      </c>
    </row>
    <row r="7" spans="1:7">
      <c r="A7" s="14" t="s">
        <v>5</v>
      </c>
      <c r="B7" s="20">
        <v>5</v>
      </c>
      <c r="C7" s="4"/>
      <c r="D7" s="4" t="s">
        <v>59</v>
      </c>
      <c r="E7" s="26" t="s">
        <v>6</v>
      </c>
      <c r="F7" s="13">
        <f t="shared" si="0"/>
        <v>6</v>
      </c>
      <c r="G7" s="14" t="s">
        <v>5</v>
      </c>
    </row>
    <row r="8" spans="1:7">
      <c r="A8" s="26" t="s">
        <v>6</v>
      </c>
      <c r="B8" s="20">
        <v>6</v>
      </c>
      <c r="C8" s="4"/>
      <c r="D8" s="4" t="s">
        <v>75</v>
      </c>
      <c r="E8" s="14" t="s">
        <v>11</v>
      </c>
      <c r="F8" s="13">
        <f t="shared" si="0"/>
        <v>11</v>
      </c>
    </row>
    <row r="9" spans="1:7">
      <c r="A9" s="14" t="s">
        <v>7</v>
      </c>
      <c r="B9" s="20">
        <v>7</v>
      </c>
      <c r="C9" s="4"/>
      <c r="D9" s="4" t="s">
        <v>76</v>
      </c>
      <c r="E9" s="14" t="s">
        <v>7</v>
      </c>
      <c r="F9" s="13">
        <f t="shared" si="0"/>
        <v>7</v>
      </c>
    </row>
    <row r="10" spans="1:7">
      <c r="A10" s="14" t="s">
        <v>8</v>
      </c>
      <c r="B10" s="20">
        <v>8</v>
      </c>
      <c r="C10" s="4"/>
      <c r="D10" s="4" t="s">
        <v>77</v>
      </c>
      <c r="E10" s="14" t="s">
        <v>8</v>
      </c>
      <c r="F10" s="13">
        <f t="shared" si="0"/>
        <v>8</v>
      </c>
    </row>
    <row r="11" spans="1:7">
      <c r="A11" s="14" t="s">
        <v>9</v>
      </c>
      <c r="B11" s="20">
        <v>9</v>
      </c>
      <c r="C11" s="4"/>
      <c r="D11" s="4" t="s">
        <v>78</v>
      </c>
      <c r="E11" s="14" t="s">
        <v>13</v>
      </c>
      <c r="F11" s="13">
        <f t="shared" si="0"/>
        <v>13</v>
      </c>
      <c r="G11" s="14" t="s">
        <v>9</v>
      </c>
    </row>
    <row r="12" spans="1:7">
      <c r="A12" s="14" t="s">
        <v>10</v>
      </c>
      <c r="B12" s="20">
        <v>10</v>
      </c>
      <c r="C12" s="4"/>
      <c r="D12" s="4" t="s">
        <v>79</v>
      </c>
      <c r="E12" s="14" t="s">
        <v>31</v>
      </c>
      <c r="F12" s="13">
        <f t="shared" si="0"/>
        <v>31</v>
      </c>
      <c r="G12" s="14" t="s">
        <v>10</v>
      </c>
    </row>
    <row r="13" spans="1:7">
      <c r="A13" s="14" t="s">
        <v>11</v>
      </c>
      <c r="B13" s="20">
        <v>11</v>
      </c>
      <c r="C13" s="4"/>
      <c r="D13" s="4" t="s">
        <v>80</v>
      </c>
      <c r="E13" s="14" t="s">
        <v>35</v>
      </c>
      <c r="F13" s="13">
        <f t="shared" si="0"/>
        <v>35</v>
      </c>
    </row>
    <row r="14" spans="1:7">
      <c r="A14" s="14" t="s">
        <v>12</v>
      </c>
      <c r="B14" s="20">
        <v>12</v>
      </c>
      <c r="C14" s="4"/>
      <c r="D14" s="4" t="s">
        <v>81</v>
      </c>
      <c r="E14" s="14" t="s">
        <v>12</v>
      </c>
      <c r="F14" s="13">
        <f t="shared" si="0"/>
        <v>12</v>
      </c>
    </row>
    <row r="15" spans="1:7">
      <c r="A15" s="14" t="s">
        <v>13</v>
      </c>
      <c r="B15" s="20">
        <v>13</v>
      </c>
      <c r="C15" s="4"/>
      <c r="D15" s="4" t="s">
        <v>82</v>
      </c>
      <c r="E15" s="14" t="s">
        <v>20</v>
      </c>
      <c r="F15" s="13">
        <f t="shared" si="0"/>
        <v>20</v>
      </c>
    </row>
    <row r="16" spans="1:7">
      <c r="A16" s="14" t="s">
        <v>14</v>
      </c>
      <c r="B16" s="20">
        <v>14</v>
      </c>
      <c r="C16" s="4"/>
      <c r="D16" s="4" t="s">
        <v>83</v>
      </c>
      <c r="E16" s="14" t="s">
        <v>32</v>
      </c>
      <c r="F16" s="13">
        <f t="shared" si="0"/>
        <v>32</v>
      </c>
    </row>
    <row r="17" spans="1:7">
      <c r="A17" s="14" t="s">
        <v>15</v>
      </c>
      <c r="B17" s="20">
        <v>15</v>
      </c>
      <c r="C17" s="4"/>
      <c r="D17" s="4" t="s">
        <v>84</v>
      </c>
      <c r="E17" s="14" t="s">
        <v>37</v>
      </c>
      <c r="F17" s="13">
        <f t="shared" si="0"/>
        <v>37</v>
      </c>
    </row>
    <row r="18" spans="1:7">
      <c r="A18" s="14" t="s">
        <v>16</v>
      </c>
      <c r="B18" s="20">
        <v>16</v>
      </c>
      <c r="C18" s="4"/>
      <c r="D18" s="4" t="s">
        <v>85</v>
      </c>
      <c r="E18" s="14" t="s">
        <v>33</v>
      </c>
      <c r="F18" s="13">
        <f t="shared" si="0"/>
        <v>33</v>
      </c>
    </row>
    <row r="19" spans="1:7">
      <c r="A19" s="14" t="s">
        <v>17</v>
      </c>
      <c r="B19" s="20">
        <v>17</v>
      </c>
      <c r="C19" s="4"/>
      <c r="D19" s="4" t="s">
        <v>60</v>
      </c>
      <c r="E19" s="14" t="s">
        <v>22</v>
      </c>
      <c r="F19" s="13">
        <f t="shared" si="0"/>
        <v>22</v>
      </c>
    </row>
    <row r="20" spans="1:7">
      <c r="A20" s="14" t="s">
        <v>18</v>
      </c>
      <c r="B20" s="20">
        <v>18</v>
      </c>
      <c r="C20" s="4"/>
      <c r="D20" s="4" t="s">
        <v>86</v>
      </c>
      <c r="E20" s="14" t="s">
        <v>52</v>
      </c>
      <c r="F20" s="13">
        <f t="shared" si="0"/>
        <v>50</v>
      </c>
    </row>
    <row r="21" spans="1:7">
      <c r="A21" s="14" t="s">
        <v>19</v>
      </c>
      <c r="B21" s="20">
        <v>19</v>
      </c>
      <c r="C21" s="4"/>
      <c r="D21" s="4" t="s">
        <v>87</v>
      </c>
      <c r="E21" s="14" t="s">
        <v>67</v>
      </c>
      <c r="F21" s="13">
        <f t="shared" si="0"/>
        <v>51</v>
      </c>
      <c r="G21" s="14" t="s">
        <v>19</v>
      </c>
    </row>
    <row r="22" spans="1:7">
      <c r="A22" s="14" t="s">
        <v>20</v>
      </c>
      <c r="B22" s="20">
        <v>20</v>
      </c>
      <c r="C22" s="4"/>
      <c r="D22" s="4" t="s">
        <v>88</v>
      </c>
      <c r="E22" s="14" t="s">
        <v>39</v>
      </c>
      <c r="F22" s="13">
        <f t="shared" si="0"/>
        <v>39</v>
      </c>
    </row>
    <row r="23" spans="1:7">
      <c r="A23" s="14" t="s">
        <v>99</v>
      </c>
      <c r="B23" s="20">
        <v>21</v>
      </c>
      <c r="C23" s="4"/>
      <c r="D23" s="4" t="s">
        <v>89</v>
      </c>
      <c r="E23" s="14" t="s">
        <v>44</v>
      </c>
      <c r="F23" s="13">
        <f t="shared" si="0"/>
        <v>44</v>
      </c>
      <c r="G23" s="14" t="s">
        <v>21</v>
      </c>
    </row>
    <row r="24" spans="1:7">
      <c r="A24" s="14" t="s">
        <v>22</v>
      </c>
      <c r="B24" s="20">
        <v>22</v>
      </c>
      <c r="C24" s="15" t="s">
        <v>90</v>
      </c>
      <c r="D24" s="16"/>
      <c r="E24" s="18"/>
      <c r="F24" s="13"/>
    </row>
    <row r="25" spans="1:7">
      <c r="A25" s="14" t="s">
        <v>23</v>
      </c>
      <c r="B25" s="20">
        <v>23</v>
      </c>
      <c r="C25" s="4"/>
      <c r="D25" s="4" t="s">
        <v>91</v>
      </c>
      <c r="E25" s="14" t="s">
        <v>42</v>
      </c>
      <c r="F25" s="13">
        <f t="shared" si="0"/>
        <v>42</v>
      </c>
      <c r="G25" s="14" t="s">
        <v>23</v>
      </c>
    </row>
    <row r="26" spans="1:7">
      <c r="A26" s="14" t="s">
        <v>24</v>
      </c>
      <c r="B26" s="20">
        <v>24</v>
      </c>
      <c r="C26" s="4"/>
      <c r="D26" s="4" t="s">
        <v>92</v>
      </c>
      <c r="E26" s="14" t="s">
        <v>43</v>
      </c>
      <c r="F26" s="13">
        <f t="shared" si="0"/>
        <v>43</v>
      </c>
      <c r="G26" s="14" t="s">
        <v>24</v>
      </c>
    </row>
    <row r="27" spans="1:7">
      <c r="A27" s="14" t="s">
        <v>25</v>
      </c>
      <c r="B27" s="20">
        <v>25</v>
      </c>
      <c r="C27" s="4"/>
      <c r="D27" s="4" t="s">
        <v>93</v>
      </c>
      <c r="E27" s="14" t="s">
        <v>41</v>
      </c>
      <c r="F27" s="13">
        <f t="shared" si="0"/>
        <v>41</v>
      </c>
      <c r="G27" s="14" t="s">
        <v>25</v>
      </c>
    </row>
    <row r="28" spans="1:7">
      <c r="A28" s="14" t="s">
        <v>26</v>
      </c>
      <c r="B28" s="20">
        <v>26</v>
      </c>
      <c r="C28" s="15" t="s">
        <v>94</v>
      </c>
      <c r="D28" s="16"/>
      <c r="E28" s="18"/>
      <c r="F28" s="13"/>
      <c r="G28" s="14" t="s">
        <v>26</v>
      </c>
    </row>
    <row r="29" spans="1:7">
      <c r="A29" s="14" t="s">
        <v>27</v>
      </c>
      <c r="B29" s="20">
        <v>27</v>
      </c>
      <c r="C29" s="4"/>
      <c r="D29" s="4" t="s">
        <v>95</v>
      </c>
      <c r="E29" s="14" t="s">
        <v>28</v>
      </c>
      <c r="F29" s="13">
        <f t="shared" si="0"/>
        <v>28</v>
      </c>
      <c r="G29" s="14" t="s">
        <v>27</v>
      </c>
    </row>
    <row r="30" spans="1:7">
      <c r="A30" s="14" t="s">
        <v>28</v>
      </c>
      <c r="B30" s="20">
        <v>28</v>
      </c>
      <c r="C30" s="4"/>
      <c r="D30" s="4" t="s">
        <v>96</v>
      </c>
      <c r="E30" s="14" t="s">
        <v>14</v>
      </c>
      <c r="F30" s="13"/>
    </row>
    <row r="31" spans="1:7">
      <c r="A31" s="14" t="s">
        <v>29</v>
      </c>
      <c r="B31" s="20">
        <v>29</v>
      </c>
      <c r="C31" s="4"/>
      <c r="D31" s="4" t="s">
        <v>97</v>
      </c>
      <c r="E31" s="14" t="s">
        <v>29</v>
      </c>
      <c r="F31" s="13">
        <f t="shared" si="0"/>
        <v>29</v>
      </c>
    </row>
    <row r="32" spans="1:7">
      <c r="A32" s="14" t="s">
        <v>30</v>
      </c>
      <c r="B32" s="20">
        <v>30</v>
      </c>
      <c r="C32" s="4"/>
      <c r="D32" s="4" t="s">
        <v>98</v>
      </c>
      <c r="E32" s="14" t="s">
        <v>36</v>
      </c>
      <c r="F32" s="13">
        <f t="shared" si="0"/>
        <v>36</v>
      </c>
      <c r="G32" s="14" t="s">
        <v>30</v>
      </c>
    </row>
    <row r="33" spans="1:7">
      <c r="A33" s="14" t="s">
        <v>31</v>
      </c>
      <c r="B33" s="20">
        <v>31</v>
      </c>
      <c r="C33" s="4"/>
      <c r="D33" s="4" t="s">
        <v>61</v>
      </c>
      <c r="E33" s="14" t="s">
        <v>15</v>
      </c>
      <c r="F33" s="13"/>
    </row>
    <row r="34" spans="1:7">
      <c r="A34" s="14" t="s">
        <v>32</v>
      </c>
      <c r="B34" s="20">
        <v>32</v>
      </c>
      <c r="C34" s="4"/>
      <c r="D34" s="4" t="s">
        <v>62</v>
      </c>
      <c r="E34" s="14" t="s">
        <v>16</v>
      </c>
      <c r="F34" s="13"/>
    </row>
    <row r="35" spans="1:7">
      <c r="A35" s="14" t="s">
        <v>33</v>
      </c>
      <c r="B35" s="20">
        <v>33</v>
      </c>
      <c r="C35" s="4"/>
      <c r="D35" s="4" t="s">
        <v>63</v>
      </c>
      <c r="E35" s="14" t="s">
        <v>17</v>
      </c>
      <c r="F35" s="13"/>
    </row>
    <row r="36" spans="1:7">
      <c r="A36" s="14" t="s">
        <v>34</v>
      </c>
      <c r="B36" s="20">
        <v>34</v>
      </c>
      <c r="C36" s="4"/>
      <c r="D36" s="4" t="s">
        <v>64</v>
      </c>
      <c r="E36" s="14" t="s">
        <v>18</v>
      </c>
      <c r="F36" s="13"/>
      <c r="G36" s="14" t="s">
        <v>34</v>
      </c>
    </row>
    <row r="37" spans="1:7">
      <c r="A37" s="14" t="s">
        <v>35</v>
      </c>
      <c r="B37" s="20">
        <v>35</v>
      </c>
      <c r="C37" s="4"/>
      <c r="D37" s="4" t="s">
        <v>65</v>
      </c>
      <c r="E37" s="14" t="s">
        <v>50</v>
      </c>
      <c r="F37" s="13">
        <f t="shared" si="0"/>
        <v>48</v>
      </c>
    </row>
    <row r="38" spans="1:7">
      <c r="A38" s="14" t="s">
        <v>36</v>
      </c>
      <c r="B38" s="20">
        <v>36</v>
      </c>
      <c r="C38" s="4"/>
      <c r="D38" s="4" t="s">
        <v>66</v>
      </c>
      <c r="E38" s="14" t="s">
        <v>51</v>
      </c>
      <c r="F38" s="13">
        <f t="shared" si="0"/>
        <v>49</v>
      </c>
    </row>
    <row r="39" spans="1:7">
      <c r="A39" s="14" t="s">
        <v>37</v>
      </c>
      <c r="B39" s="20">
        <v>37</v>
      </c>
      <c r="C39" s="4"/>
      <c r="D39" s="4"/>
      <c r="E39" s="17"/>
      <c r="F39" s="13"/>
    </row>
    <row r="40" spans="1:7">
      <c r="A40" s="14" t="s">
        <v>38</v>
      </c>
      <c r="B40" s="20">
        <v>38</v>
      </c>
      <c r="C40" s="4"/>
      <c r="D40" s="4"/>
      <c r="E40" s="17"/>
      <c r="F40" s="13"/>
      <c r="G40" s="14" t="s">
        <v>38</v>
      </c>
    </row>
    <row r="41" spans="1:7">
      <c r="A41" s="14" t="s">
        <v>39</v>
      </c>
      <c r="B41" s="20">
        <v>39</v>
      </c>
      <c r="C41" s="4"/>
      <c r="D41" s="4"/>
      <c r="E41" s="17"/>
      <c r="F41" s="13"/>
    </row>
    <row r="42" spans="1:7">
      <c r="A42" s="14" t="s">
        <v>40</v>
      </c>
      <c r="B42" s="20">
        <v>40</v>
      </c>
      <c r="C42" s="4"/>
      <c r="D42" s="4"/>
      <c r="E42" s="17"/>
      <c r="F42" s="13"/>
      <c r="G42" s="14" t="s">
        <v>40</v>
      </c>
    </row>
    <row r="43" spans="1:7">
      <c r="A43" s="14" t="s">
        <v>41</v>
      </c>
      <c r="B43" s="20">
        <v>41</v>
      </c>
      <c r="C43" s="4"/>
      <c r="D43" s="4"/>
      <c r="E43" s="17"/>
      <c r="F43" s="13"/>
    </row>
    <row r="44" spans="1:7">
      <c r="A44" s="14" t="s">
        <v>42</v>
      </c>
      <c r="B44" s="20">
        <v>42</v>
      </c>
      <c r="C44" s="4"/>
      <c r="D44" s="4"/>
      <c r="E44" s="17"/>
      <c r="F44" s="13"/>
    </row>
    <row r="45" spans="1:7">
      <c r="A45" s="14" t="s">
        <v>43</v>
      </c>
      <c r="B45" s="20">
        <v>43</v>
      </c>
      <c r="C45" s="4"/>
      <c r="D45" s="4"/>
      <c r="E45" s="17"/>
      <c r="F45" s="13"/>
    </row>
    <row r="46" spans="1:7">
      <c r="A46" s="14" t="s">
        <v>44</v>
      </c>
      <c r="B46" s="20">
        <v>44</v>
      </c>
      <c r="C46" s="4"/>
      <c r="D46" s="4"/>
      <c r="E46" s="17"/>
      <c r="F46" s="13"/>
    </row>
    <row r="47" spans="1:7">
      <c r="A47" s="14" t="s">
        <v>45</v>
      </c>
      <c r="B47" s="20">
        <v>45</v>
      </c>
      <c r="C47" s="4"/>
      <c r="D47" s="4"/>
      <c r="E47" s="17"/>
      <c r="F47" s="13"/>
      <c r="G47" s="14" t="s">
        <v>45</v>
      </c>
    </row>
    <row r="48" spans="1:7">
      <c r="A48" s="14" t="s">
        <v>46</v>
      </c>
      <c r="B48" s="20">
        <v>46</v>
      </c>
      <c r="C48" s="4"/>
      <c r="D48" s="4"/>
      <c r="E48" s="17"/>
      <c r="F48" s="13"/>
      <c r="G48" s="14" t="s">
        <v>46</v>
      </c>
    </row>
    <row r="49" spans="1:6">
      <c r="A49" s="14" t="s">
        <v>49</v>
      </c>
      <c r="B49" s="20">
        <v>47</v>
      </c>
      <c r="C49" s="4"/>
      <c r="D49" s="4"/>
      <c r="E49" s="17"/>
      <c r="F49" s="13"/>
    </row>
    <row r="50" spans="1:6">
      <c r="A50" s="14" t="s">
        <v>50</v>
      </c>
      <c r="B50" s="20">
        <v>48</v>
      </c>
      <c r="C50" s="4"/>
      <c r="D50" s="4"/>
      <c r="E50" s="17"/>
      <c r="F50" s="13"/>
    </row>
    <row r="51" spans="1:6">
      <c r="A51" s="14" t="s">
        <v>51</v>
      </c>
      <c r="B51" s="20">
        <v>49</v>
      </c>
      <c r="C51" s="4"/>
      <c r="D51" s="4"/>
      <c r="E51" s="17"/>
      <c r="F51" s="13"/>
    </row>
    <row r="52" spans="1:6">
      <c r="A52" s="14" t="s">
        <v>52</v>
      </c>
      <c r="B52" s="20">
        <v>50</v>
      </c>
      <c r="C52" s="4"/>
      <c r="D52" s="4"/>
      <c r="E52" s="17"/>
      <c r="F52" s="13"/>
    </row>
    <row r="53" spans="1:6">
      <c r="A53" s="14" t="s">
        <v>67</v>
      </c>
      <c r="B53" s="20">
        <v>51</v>
      </c>
      <c r="C53" s="4"/>
      <c r="D53" s="4"/>
      <c r="E53" s="17"/>
      <c r="F53" s="13"/>
    </row>
  </sheetData>
  <mergeCells count="1">
    <mergeCell ref="C1:D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MauNhapDB</vt:lpstr>
      <vt:lpstr>DoiChieu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Tuong Anh Ly</dc:creator>
  <cp:lastModifiedBy>Tuong Anh Ly</cp:lastModifiedBy>
  <dcterms:created xsi:type="dcterms:W3CDTF">2022-09-15T08:26:28Z</dcterms:created>
  <dcterms:modified xsi:type="dcterms:W3CDTF">2022-11-09T09:09:08Z</dcterms:modified>
</cp:coreProperties>
</file>